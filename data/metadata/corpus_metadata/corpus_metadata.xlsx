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deryademir/Documents/QUADRIGA/sfb_repository/data/metadata/corpus_metadata/"/>
    </mc:Choice>
  </mc:AlternateContent>
  <xr:revisionPtr revIDLastSave="0" documentId="13_ncr:1_{6F58A58A-E5CA-C541-83B5-38857B4E8507}" xr6:coauthVersionLast="47" xr6:coauthVersionMax="47" xr10:uidLastSave="{00000000-0000-0000-0000-000000000000}"/>
  <bookViews>
    <workbookView xWindow="0" yWindow="760" windowWidth="23260" windowHeight="12460" tabRatio="500" xr2:uid="{00000000-000D-0000-FFFF-FFFF00000000}"/>
  </bookViews>
  <sheets>
    <sheet name="corpus metadat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26" i="1" l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<sst xmlns="http://schemas.openxmlformats.org/spreadsheetml/2006/main" count="2523" uniqueCount="950">
  <si>
    <t>title</t>
  </si>
  <si>
    <t>object_id</t>
  </si>
  <si>
    <t>imdb_id</t>
  </si>
  <si>
    <t>classification</t>
  </si>
  <si>
    <t>country</t>
  </si>
  <si>
    <t>year</t>
  </si>
  <si>
    <t>director</t>
  </si>
  <si>
    <t>runtime_min</t>
  </si>
  <si>
    <t>duration_iso8601</t>
  </si>
  <si>
    <t>season_episode</t>
  </si>
  <si>
    <t>episode_title</t>
  </si>
  <si>
    <t>modes_intervention</t>
  </si>
  <si>
    <t>annotation_data</t>
  </si>
  <si>
    <t>moviebarcode</t>
  </si>
  <si>
    <t>2040</t>
  </si>
  <si>
    <t>f0162</t>
  </si>
  <si>
    <t>tt7150512</t>
  </si>
  <si>
    <t>documentary</t>
  </si>
  <si>
    <t>AU</t>
  </si>
  <si>
    <t>2018</t>
  </si>
  <si>
    <t>Damon Gameau</t>
  </si>
  <si>
    <t>92 Min.</t>
  </si>
  <si>
    <t>Escalation / de-escalation</t>
  </si>
  <si>
    <t>TRUE</t>
  </si>
  <si>
    <t>2067</t>
  </si>
  <si>
    <t>f0522</t>
  </si>
  <si>
    <t>tt1918734</t>
  </si>
  <si>
    <t>feature film</t>
  </si>
  <si>
    <t>2020</t>
  </si>
  <si>
    <t>Seth Larney</t>
  </si>
  <si>
    <t>114 Min.</t>
  </si>
  <si>
    <t>FALSE</t>
  </si>
  <si>
    <t>Albatross</t>
  </si>
  <si>
    <t>f025a</t>
  </si>
  <si>
    <t>tt9914642</t>
  </si>
  <si>
    <t>US</t>
  </si>
  <si>
    <t>2017</t>
  </si>
  <si>
    <t>Chris Jordan</t>
  </si>
  <si>
    <t>97 Min.</t>
  </si>
  <si>
    <t>An Inconvenient Sequel: Truth to Power</t>
  </si>
  <si>
    <t>f009a</t>
  </si>
  <si>
    <t>tt6322922</t>
  </si>
  <si>
    <t>Bonni Cohen; Jon Shenk</t>
  </si>
  <si>
    <t>98 Min.</t>
  </si>
  <si>
    <t>An Inconvenient Truth</t>
  </si>
  <si>
    <t>f020a</t>
  </si>
  <si>
    <t>tt0497116</t>
  </si>
  <si>
    <t>2006</t>
  </si>
  <si>
    <t>Davis Guggenheim</t>
  </si>
  <si>
    <t>96 Min.</t>
  </si>
  <si>
    <t>Annihilation</t>
  </si>
  <si>
    <t>f049a</t>
  </si>
  <si>
    <t>tt2798920</t>
  </si>
  <si>
    <t>US; GB</t>
  </si>
  <si>
    <t>Alex Garland</t>
  </si>
  <si>
    <t>115 Min.</t>
  </si>
  <si>
    <t>Another Earth</t>
  </si>
  <si>
    <t>f040a</t>
  </si>
  <si>
    <t>tt1549572</t>
  </si>
  <si>
    <t>2011</t>
  </si>
  <si>
    <t>Mike Cahill</t>
  </si>
  <si>
    <t>Anthropocene: The Human Epoch</t>
  </si>
  <si>
    <t>f002a</t>
  </si>
  <si>
    <t>tt8399690</t>
  </si>
  <si>
    <t>CA</t>
  </si>
  <si>
    <t>Jennifer Baichwal; Edward Burtynsky; Nicholas de Pencier</t>
  </si>
  <si>
    <t>87 Min.</t>
  </si>
  <si>
    <t>Unintended Consequences; Escalation / de-escalation; Unintended Consequences; Escalation / de-escalation</t>
  </si>
  <si>
    <t>Awake: A Dream from Standing Rock</t>
  </si>
  <si>
    <t>f012a</t>
  </si>
  <si>
    <t>tt6691862</t>
  </si>
  <si>
    <t>Myron Dewey; Josh Fox; James Spione</t>
  </si>
  <si>
    <t>89 Min.</t>
  </si>
  <si>
    <t>Disruptive scaling; Non-linear temporalities; Unintended Consequences; Post-anthropocentric reperspectivations</t>
  </si>
  <si>
    <t>Beasts of the Southern Wild</t>
  </si>
  <si>
    <t>f065b</t>
  </si>
  <si>
    <t>tt2125435</t>
  </si>
  <si>
    <t>2012</t>
  </si>
  <si>
    <t>Benh Zeitlin</t>
  </si>
  <si>
    <t>93 Min.</t>
  </si>
  <si>
    <t>Destabilization / Restabilization</t>
  </si>
  <si>
    <t>Before the Flood</t>
  </si>
  <si>
    <t>f013b</t>
  </si>
  <si>
    <t>tt5929776</t>
  </si>
  <si>
    <t>2016</t>
  </si>
  <si>
    <t>Fisher Stevens</t>
  </si>
  <si>
    <t>Blade Runner 2049</t>
  </si>
  <si>
    <t>f063b</t>
  </si>
  <si>
    <t>tt1856101</t>
  </si>
  <si>
    <t>US; CA; ES</t>
  </si>
  <si>
    <t>Denis Villeneuve</t>
  </si>
  <si>
    <t>164 Min.</t>
  </si>
  <si>
    <t>Blue Planet II</t>
  </si>
  <si>
    <t>e066b</t>
  </si>
  <si>
    <t>tt7473714</t>
  </si>
  <si>
    <t>episode</t>
  </si>
  <si>
    <t>GB; US; CN; FR; DE</t>
  </si>
  <si>
    <t>James Honeyborne</t>
  </si>
  <si>
    <t>51 Min.</t>
  </si>
  <si>
    <t>S01E01</t>
  </si>
  <si>
    <t>One Ocean</t>
  </si>
  <si>
    <t>e067b</t>
  </si>
  <si>
    <t>tt7579602</t>
  </si>
  <si>
    <t>54 Min.</t>
  </si>
  <si>
    <t>S01E02</t>
  </si>
  <si>
    <t>The Deep</t>
  </si>
  <si>
    <t>e068b</t>
  </si>
  <si>
    <t>tt7579754</t>
  </si>
  <si>
    <t>52 Min.</t>
  </si>
  <si>
    <t>S01E04</t>
  </si>
  <si>
    <t>Big Blue</t>
  </si>
  <si>
    <t>e069b</t>
  </si>
  <si>
    <t>tt7579776</t>
  </si>
  <si>
    <t>50 Min.</t>
  </si>
  <si>
    <t>S01E06</t>
  </si>
  <si>
    <t>Coasts</t>
  </si>
  <si>
    <t>e070b</t>
  </si>
  <si>
    <t>tt7579782</t>
  </si>
  <si>
    <t>53 Min.</t>
  </si>
  <si>
    <t>S01E07</t>
  </si>
  <si>
    <t>Our Blue Planet</t>
  </si>
  <si>
    <t>e114t</t>
  </si>
  <si>
    <t>tt7579764</t>
  </si>
  <si>
    <t>S01E03</t>
  </si>
  <si>
    <t>Coral Reefs</t>
  </si>
  <si>
    <t>e115t</t>
  </si>
  <si>
    <t>tt7579758</t>
  </si>
  <si>
    <t>S01E05</t>
  </si>
  <si>
    <t>Green Seas</t>
  </si>
  <si>
    <t>Carbon Nation</t>
  </si>
  <si>
    <t>f007c</t>
  </si>
  <si>
    <t>tt1482991</t>
  </si>
  <si>
    <t>2010</t>
  </si>
  <si>
    <t>Peter Byck</t>
  </si>
  <si>
    <t>86 Min.</t>
  </si>
  <si>
    <t>Chasing Ice</t>
  </si>
  <si>
    <t>f032c</t>
  </si>
  <si>
    <t>tt1579361</t>
  </si>
  <si>
    <t>Jeff Orlowski-Yang</t>
  </si>
  <si>
    <t>75 Min.</t>
  </si>
  <si>
    <t>Children of Men</t>
  </si>
  <si>
    <t>f042c</t>
  </si>
  <si>
    <t>tt0206634</t>
  </si>
  <si>
    <t>US; GB; JP</t>
  </si>
  <si>
    <t>Alfonso Cuarón</t>
  </si>
  <si>
    <t>109 Min.</t>
  </si>
  <si>
    <t>Climate of Change</t>
  </si>
  <si>
    <t>f022c</t>
  </si>
  <si>
    <t>tt1563712</t>
  </si>
  <si>
    <t>Brian Hill</t>
  </si>
  <si>
    <t>Dear Future Children</t>
  </si>
  <si>
    <t>f005d</t>
  </si>
  <si>
    <t>tt11191356</t>
  </si>
  <si>
    <t>DE; GB; AT</t>
  </si>
  <si>
    <t>2021</t>
  </si>
  <si>
    <t>Franz Böhm</t>
  </si>
  <si>
    <t>Everything Will Change</t>
  </si>
  <si>
    <t>f029e</t>
  </si>
  <si>
    <t>tt13086274</t>
  </si>
  <si>
    <t>DE; NL</t>
  </si>
  <si>
    <t>Marten Persiel</t>
  </si>
  <si>
    <t>Post-anthropocentric reperspectivations</t>
  </si>
  <si>
    <t>Everything's Cool</t>
  </si>
  <si>
    <t>f019e</t>
  </si>
  <si>
    <t>tt0810970</t>
  </si>
  <si>
    <t>2007</t>
  </si>
  <si>
    <t>Daniel B. Gold; Judith Helfand</t>
  </si>
  <si>
    <t>First Reformed</t>
  </si>
  <si>
    <t>f059f</t>
  </si>
  <si>
    <t>tt6053438</t>
  </si>
  <si>
    <t>US; GB; AU</t>
  </si>
  <si>
    <t>Paul Schrader</t>
  </si>
  <si>
    <t>113 Min.</t>
  </si>
  <si>
    <t>Escalation / de-escalation; Disruptive scaling</t>
  </si>
  <si>
    <t>Frozen Planet</t>
  </si>
  <si>
    <t>e213f</t>
  </si>
  <si>
    <t>tt2095246</t>
  </si>
  <si>
    <t>GB; US; ES; DE; GR; CA</t>
  </si>
  <si>
    <t>Paul Spillenger</t>
  </si>
  <si>
    <t>58 Min.</t>
  </si>
  <si>
    <t>To the Ends of the Earth</t>
  </si>
  <si>
    <t>e214f</t>
  </si>
  <si>
    <t>tt2095243</t>
  </si>
  <si>
    <t>Mark Linfield; Paul Spillenger</t>
  </si>
  <si>
    <t>Spring</t>
  </si>
  <si>
    <t>e215f</t>
  </si>
  <si>
    <t>tt2095244</t>
  </si>
  <si>
    <t>59 Min.</t>
  </si>
  <si>
    <t>Summer</t>
  </si>
  <si>
    <t>e216f</t>
  </si>
  <si>
    <t>tt2095241</t>
  </si>
  <si>
    <t>Autumn</t>
  </si>
  <si>
    <t>e217f</t>
  </si>
  <si>
    <t>tt2095247</t>
  </si>
  <si>
    <t>Winter</t>
  </si>
  <si>
    <t>e218f</t>
  </si>
  <si>
    <t>tt2095245</t>
  </si>
  <si>
    <t>The Last Frontier</t>
  </si>
  <si>
    <t>e219f</t>
  </si>
  <si>
    <t>tt2095242</t>
  </si>
  <si>
    <t>On Thin Ice</t>
  </si>
  <si>
    <t>Frozen Planet II</t>
  </si>
  <si>
    <t>e220f</t>
  </si>
  <si>
    <t>tt18468964</t>
  </si>
  <si>
    <t>GB</t>
  </si>
  <si>
    <t>2023</t>
  </si>
  <si>
    <t>Alex Lanchester</t>
  </si>
  <si>
    <t>57 Min.</t>
  </si>
  <si>
    <t>Frozen Worlds</t>
  </si>
  <si>
    <t>e221f</t>
  </si>
  <si>
    <t>tt21987364</t>
  </si>
  <si>
    <t>Rachel Scott</t>
  </si>
  <si>
    <t>Frozen Ocean</t>
  </si>
  <si>
    <t>e222f</t>
  </si>
  <si>
    <t>tt21987366</t>
  </si>
  <si>
    <t>Frozen Peaks</t>
  </si>
  <si>
    <t>e223f</t>
  </si>
  <si>
    <t>tt21987370</t>
  </si>
  <si>
    <t>Orla Doherty</t>
  </si>
  <si>
    <t>Frozen South</t>
  </si>
  <si>
    <t>e224f</t>
  </si>
  <si>
    <t>tt21987376</t>
  </si>
  <si>
    <t>Jane Atkins</t>
  </si>
  <si>
    <t>Frozen Lands</t>
  </si>
  <si>
    <t>e225f</t>
  </si>
  <si>
    <t>tt21987378</t>
  </si>
  <si>
    <t>James Reed</t>
  </si>
  <si>
    <t>Our Frozen Planet</t>
  </si>
  <si>
    <t>Geostorm</t>
  </si>
  <si>
    <t>f045g</t>
  </si>
  <si>
    <t>tt1981128</t>
  </si>
  <si>
    <t>US; JP; AE; HK</t>
  </si>
  <si>
    <t>Dean Devlin</t>
  </si>
  <si>
    <t>111 Min.</t>
  </si>
  <si>
    <t>Greta</t>
  </si>
  <si>
    <t>f018i</t>
  </si>
  <si>
    <t>tt10394738</t>
  </si>
  <si>
    <t>SE; DE; GB; US</t>
  </si>
  <si>
    <t>Nathan Grossman</t>
  </si>
  <si>
    <t>Guardians of the Earth</t>
  </si>
  <si>
    <t>f028g</t>
  </si>
  <si>
    <t>tt7214084</t>
  </si>
  <si>
    <t>DE; AT</t>
  </si>
  <si>
    <t>Filip Antoni Malinowski</t>
  </si>
  <si>
    <t>Hell</t>
  </si>
  <si>
    <t>f047h</t>
  </si>
  <si>
    <t>tt1643222</t>
  </si>
  <si>
    <t>DE; FR</t>
  </si>
  <si>
    <t>Tim Fehlbaum</t>
  </si>
  <si>
    <t>Home</t>
  </si>
  <si>
    <t>f004h</t>
  </si>
  <si>
    <t>tt1014762</t>
  </si>
  <si>
    <t>FR</t>
  </si>
  <si>
    <t>2009</t>
  </si>
  <si>
    <t>Yann Arthus-Bertrand</t>
  </si>
  <si>
    <t>118 Min.</t>
  </si>
  <si>
    <t>How to Blow Up a Pipeline</t>
  </si>
  <si>
    <t>f043h</t>
  </si>
  <si>
    <t>tt21440780</t>
  </si>
  <si>
    <t>2022</t>
  </si>
  <si>
    <t>Daniel Goldhaber</t>
  </si>
  <si>
    <t>104 Min.</t>
  </si>
  <si>
    <t>How to Let Go of the World: and Love All the Things Climate Can't Change</t>
  </si>
  <si>
    <t>f014h</t>
  </si>
  <si>
    <t>tt5246328</t>
  </si>
  <si>
    <t>Josh Fox</t>
  </si>
  <si>
    <t>127 Min.</t>
  </si>
  <si>
    <t>How To Save Our Planet</t>
  </si>
  <si>
    <t>v088h</t>
  </si>
  <si>
    <t>video</t>
  </si>
  <si>
    <t>8 Min.</t>
  </si>
  <si>
    <t>Inuit Knowledge and Climate Change</t>
  </si>
  <si>
    <t>f026i</t>
  </si>
  <si>
    <t>tt4081544</t>
  </si>
  <si>
    <t>Zacharias Kunuk; Ian Mauro</t>
  </si>
  <si>
    <t>60 Min.</t>
  </si>
  <si>
    <t>Knowing</t>
  </si>
  <si>
    <t>f057k</t>
  </si>
  <si>
    <t>tt0448011</t>
  </si>
  <si>
    <t>Alex Proyas</t>
  </si>
  <si>
    <t>121 Min.</t>
  </si>
  <si>
    <t>Kona fer í stríð</t>
  </si>
  <si>
    <t>f046k</t>
  </si>
  <si>
    <t>tt7279188</t>
  </si>
  <si>
    <t>FR; IS; UA</t>
  </si>
  <si>
    <t>Benedikt Erlingsson</t>
  </si>
  <si>
    <t>101 Min.</t>
  </si>
  <si>
    <t>La cinquième saison</t>
  </si>
  <si>
    <t>f064l</t>
  </si>
  <si>
    <t>tt2298820</t>
  </si>
  <si>
    <t>BE; NL; FR</t>
  </si>
  <si>
    <t>Peter Brosens; Jessica Woodworth</t>
  </si>
  <si>
    <t>La glace et le ciel</t>
  </si>
  <si>
    <t>f024l</t>
  </si>
  <si>
    <t>tt4466550</t>
  </si>
  <si>
    <t>2015</t>
  </si>
  <si>
    <t>Luc Jacquet</t>
  </si>
  <si>
    <t>Le syndrome du Titanic</t>
  </si>
  <si>
    <t>f023l</t>
  </si>
  <si>
    <t>tt1503718</t>
  </si>
  <si>
    <t>Nicolas Hulot; Jean-Albert Lièvre</t>
  </si>
  <si>
    <t>Les sentiers de l'utopie</t>
  </si>
  <si>
    <t>f015l</t>
  </si>
  <si>
    <t>tt3228338</t>
  </si>
  <si>
    <t>Life</t>
  </si>
  <si>
    <t>e071l</t>
  </si>
  <si>
    <t>tt1561896</t>
  </si>
  <si>
    <t>GB; US; IT; DE; GR</t>
  </si>
  <si>
    <t>61 Min.</t>
  </si>
  <si>
    <t>S01E09</t>
  </si>
  <si>
    <t>Plants</t>
  </si>
  <si>
    <t>e116l</t>
  </si>
  <si>
    <t>tt1535233</t>
  </si>
  <si>
    <t>Martha Holmes</t>
  </si>
  <si>
    <t>Challenges of Life</t>
  </si>
  <si>
    <t>e117l</t>
  </si>
  <si>
    <t>tt1558023</t>
  </si>
  <si>
    <t>Reptiles and Amphibians</t>
  </si>
  <si>
    <t>e118l</t>
  </si>
  <si>
    <t>tt1561895</t>
  </si>
  <si>
    <t>62 Min.</t>
  </si>
  <si>
    <t>Mammals</t>
  </si>
  <si>
    <t>e119l</t>
  </si>
  <si>
    <t>tt1561892</t>
  </si>
  <si>
    <t>Fish</t>
  </si>
  <si>
    <t>e120l</t>
  </si>
  <si>
    <t>tt1561890</t>
  </si>
  <si>
    <t>Birds</t>
  </si>
  <si>
    <t>e121l</t>
  </si>
  <si>
    <t>tt1561894</t>
  </si>
  <si>
    <t>Insects</t>
  </si>
  <si>
    <t>e122l</t>
  </si>
  <si>
    <t>tt1561893</t>
  </si>
  <si>
    <t>Hunters and Hunted</t>
  </si>
  <si>
    <t>e123l</t>
  </si>
  <si>
    <t>tt1561891</t>
  </si>
  <si>
    <t>S01E08</t>
  </si>
  <si>
    <t>Creatures of the Deep</t>
  </si>
  <si>
    <t>e124l</t>
  </si>
  <si>
    <t>tt1575290</t>
  </si>
  <si>
    <t>S01E10</t>
  </si>
  <si>
    <t>Primates</t>
  </si>
  <si>
    <t>Life on Earth</t>
  </si>
  <si>
    <t>e125t</t>
  </si>
  <si>
    <t>tt0846518</t>
  </si>
  <si>
    <t>1979</t>
  </si>
  <si>
    <t>55 Min.</t>
  </si>
  <si>
    <t>The Infinite Variety</t>
  </si>
  <si>
    <t>e137t</t>
  </si>
  <si>
    <t>tt0846514</t>
  </si>
  <si>
    <t>S01E13</t>
  </si>
  <si>
    <t>The Compulsive Communicators</t>
  </si>
  <si>
    <t>e126t</t>
  </si>
  <si>
    <t>tt0846511</t>
  </si>
  <si>
    <t>Building Bodies</t>
  </si>
  <si>
    <t>e127t</t>
  </si>
  <si>
    <t>tt0846516</t>
  </si>
  <si>
    <t>The First Forests</t>
  </si>
  <si>
    <t>e128t</t>
  </si>
  <si>
    <t>tt0846520</t>
  </si>
  <si>
    <t>The Swarming Hordes</t>
  </si>
  <si>
    <t>e129t</t>
  </si>
  <si>
    <t>tt0846515</t>
  </si>
  <si>
    <t>The Conquest of the Waters</t>
  </si>
  <si>
    <t>e130t</t>
  </si>
  <si>
    <t>tt0847338</t>
  </si>
  <si>
    <t>Invasion of the Land</t>
  </si>
  <si>
    <t>e131t</t>
  </si>
  <si>
    <t>tt0847339</t>
  </si>
  <si>
    <t>Victors of the Dry Land</t>
  </si>
  <si>
    <t>e132t</t>
  </si>
  <si>
    <t>tt0846513</t>
  </si>
  <si>
    <t>Lords of the Air</t>
  </si>
  <si>
    <t>e133t</t>
  </si>
  <si>
    <t>tt0846519</t>
  </si>
  <si>
    <t>The Rise of the Mammals</t>
  </si>
  <si>
    <t>e134t</t>
  </si>
  <si>
    <t>tt0846521</t>
  </si>
  <si>
    <t>Theme and Variations</t>
  </si>
  <si>
    <t>e135t</t>
  </si>
  <si>
    <t>tt0846517</t>
  </si>
  <si>
    <t>S01E11</t>
  </si>
  <si>
    <t>The Hunters and Hunted</t>
  </si>
  <si>
    <t>e136t</t>
  </si>
  <si>
    <t>tt0846512</t>
  </si>
  <si>
    <t>S01E12</t>
  </si>
  <si>
    <t>Life in the Trees</t>
  </si>
  <si>
    <t>Live in the Freezer</t>
  </si>
  <si>
    <t>e207l</t>
  </si>
  <si>
    <t>tt0845273</t>
  </si>
  <si>
    <t>1993</t>
  </si>
  <si>
    <t>30 Min.</t>
  </si>
  <si>
    <t>The Bountiful Sea</t>
  </si>
  <si>
    <t>e208l</t>
  </si>
  <si>
    <t>tt0845275</t>
  </si>
  <si>
    <t>The Ice Retreats</t>
  </si>
  <si>
    <t>e209l</t>
  </si>
  <si>
    <t>tt0845276</t>
  </si>
  <si>
    <t>The Race to Breed</t>
  </si>
  <si>
    <t>e210l</t>
  </si>
  <si>
    <t>tt0845274</t>
  </si>
  <si>
    <t>The Door Closes</t>
  </si>
  <si>
    <t>e211l</t>
  </si>
  <si>
    <t>tt0845272</t>
  </si>
  <si>
    <t>The Big Freeze</t>
  </si>
  <si>
    <t>e212l</t>
  </si>
  <si>
    <t>tt0845271</t>
  </si>
  <si>
    <t>Footsteps in the Snow</t>
  </si>
  <si>
    <t>Melancholia</t>
  </si>
  <si>
    <t>f062m</t>
  </si>
  <si>
    <t>tt1527186</t>
  </si>
  <si>
    <t>DK; SE; FR; DE; IT</t>
  </si>
  <si>
    <t>Lars von Trier</t>
  </si>
  <si>
    <t>135 Min.</t>
  </si>
  <si>
    <t>Native Planet</t>
  </si>
  <si>
    <t>e201n</t>
  </si>
  <si>
    <t>tt3347602</t>
  </si>
  <si>
    <t>2014</t>
  </si>
  <si>
    <t>Carmen Henriquez; Denis Paquette</t>
  </si>
  <si>
    <t>45 Min.</t>
  </si>
  <si>
    <t>New Zealand</t>
  </si>
  <si>
    <t>e202n</t>
  </si>
  <si>
    <t>tt3347608</t>
  </si>
  <si>
    <t>Ecuador</t>
  </si>
  <si>
    <t>e203n</t>
  </si>
  <si>
    <t>tt3347612</t>
  </si>
  <si>
    <t>Canada</t>
  </si>
  <si>
    <t>e204n</t>
  </si>
  <si>
    <t>tt3347614</t>
  </si>
  <si>
    <t>Hawaii</t>
  </si>
  <si>
    <t>e205n</t>
  </si>
  <si>
    <t>tt3347616</t>
  </si>
  <si>
    <t>Navajo Nation</t>
  </si>
  <si>
    <t>e206n</t>
  </si>
  <si>
    <t>tt3347624</t>
  </si>
  <si>
    <t>Australia</t>
  </si>
  <si>
    <t>Night Moves</t>
  </si>
  <si>
    <t>f058n</t>
  </si>
  <si>
    <t>tt2043933</t>
  </si>
  <si>
    <t>2013</t>
  </si>
  <si>
    <t>Kelly Reichardt</t>
  </si>
  <si>
    <t>112 Min.</t>
  </si>
  <si>
    <t>Unintended Consequences</t>
  </si>
  <si>
    <t>Noah</t>
  </si>
  <si>
    <t>f038n</t>
  </si>
  <si>
    <t>tt1959490</t>
  </si>
  <si>
    <t>Darren Aronofsky</t>
  </si>
  <si>
    <t>138 Min.</t>
  </si>
  <si>
    <t>Nowhere to Run: Nigeria's Climate and Environmental Crisis</t>
  </si>
  <si>
    <t>f031n</t>
  </si>
  <si>
    <t>tt5624478</t>
  </si>
  <si>
    <t>NG</t>
  </si>
  <si>
    <t>Dan McCain</t>
  </si>
  <si>
    <t>43 Min.</t>
  </si>
  <si>
    <t>One Word</t>
  </si>
  <si>
    <t>f037o</t>
  </si>
  <si>
    <t>tt13187790</t>
  </si>
  <si>
    <t>DE</t>
  </si>
  <si>
    <t>Viviana Uriona</t>
  </si>
  <si>
    <t>83 Min.</t>
  </si>
  <si>
    <t>Our Planet</t>
  </si>
  <si>
    <t>e138o</t>
  </si>
  <si>
    <t>tt9253868</t>
  </si>
  <si>
    <t>2019</t>
  </si>
  <si>
    <t>Adam Chapman</t>
  </si>
  <si>
    <t>One Planet</t>
  </si>
  <si>
    <t>e139o</t>
  </si>
  <si>
    <t>tt9253870</t>
  </si>
  <si>
    <t>Sophie Lanfear</t>
  </si>
  <si>
    <t>Disruptive scaling; Destabilization / Restabilization; Escalation / de-escalation</t>
  </si>
  <si>
    <t>e141o</t>
  </si>
  <si>
    <t>tt9253874</t>
  </si>
  <si>
    <t>Hugh Pearson</t>
  </si>
  <si>
    <t>Coastal Seas</t>
  </si>
  <si>
    <t>e143o</t>
  </si>
  <si>
    <t>tt9253878</t>
  </si>
  <si>
    <t>49 Min.</t>
  </si>
  <si>
    <t>The High Seas</t>
  </si>
  <si>
    <t>e145o</t>
  </si>
  <si>
    <t>tt9253882</t>
  </si>
  <si>
    <t>Jeff Wilson</t>
  </si>
  <si>
    <t>Forests</t>
  </si>
  <si>
    <t>Destabilization / Restabilization; Collision</t>
  </si>
  <si>
    <t>e146o</t>
  </si>
  <si>
    <t>tt23457148</t>
  </si>
  <si>
    <t>Toby Nowlan</t>
  </si>
  <si>
    <t>S02E01</t>
  </si>
  <si>
    <t>World on the Move</t>
  </si>
  <si>
    <t>Escalation / de-escalation; Disruptive scaling; Unintended Consequences</t>
  </si>
  <si>
    <t>e140o</t>
  </si>
  <si>
    <t>tt9253872</t>
  </si>
  <si>
    <t>Huw Cordey</t>
  </si>
  <si>
    <t>Jungles</t>
  </si>
  <si>
    <t>e142o</t>
  </si>
  <si>
    <t>tt9253876</t>
  </si>
  <si>
    <t>From Deserts to Grasslands</t>
  </si>
  <si>
    <t>e144o</t>
  </si>
  <si>
    <t>tt9253880</t>
  </si>
  <si>
    <t>Mandi Stark</t>
  </si>
  <si>
    <t>Fresh Water</t>
  </si>
  <si>
    <t>e147o</t>
  </si>
  <si>
    <t>tt23457156</t>
  </si>
  <si>
    <t>S02E04</t>
  </si>
  <si>
    <t>Freedom to Roam</t>
  </si>
  <si>
    <t>e199o</t>
  </si>
  <si>
    <t>tt23457158</t>
  </si>
  <si>
    <t>S02E02</t>
  </si>
  <si>
    <t>Following the Sun</t>
  </si>
  <si>
    <t>e200o</t>
  </si>
  <si>
    <t>tt23457152</t>
  </si>
  <si>
    <t>S02E03</t>
  </si>
  <si>
    <t>The Next Generation</t>
  </si>
  <si>
    <t>Planet Earth</t>
  </si>
  <si>
    <t>e148p</t>
  </si>
  <si>
    <t>tt0797603</t>
  </si>
  <si>
    <t>GB; CA; US; JP</t>
  </si>
  <si>
    <t>Alastair Fothergill; Mark Linfield</t>
  </si>
  <si>
    <t>From Pole to Pole</t>
  </si>
  <si>
    <t>e149p</t>
  </si>
  <si>
    <t>tt0797602</t>
  </si>
  <si>
    <t>Alastair Fothergill</t>
  </si>
  <si>
    <t>48 Min.</t>
  </si>
  <si>
    <t>Mountains</t>
  </si>
  <si>
    <t>e154p</t>
  </si>
  <si>
    <t>tt0905879</t>
  </si>
  <si>
    <t>Seasonal Forests</t>
  </si>
  <si>
    <t>e155p</t>
  </si>
  <si>
    <t>tt0905878</t>
  </si>
  <si>
    <t>Ocean Deep</t>
  </si>
  <si>
    <t>e072p</t>
  </si>
  <si>
    <t>tt0799305</t>
  </si>
  <si>
    <t>Caves</t>
  </si>
  <si>
    <t>e073p</t>
  </si>
  <si>
    <t>tt0818059</t>
  </si>
  <si>
    <t>Deserts</t>
  </si>
  <si>
    <t>e074p</t>
  </si>
  <si>
    <t>tt0905876</t>
  </si>
  <si>
    <t>Ice Worlds</t>
  </si>
  <si>
    <t>e150p</t>
  </si>
  <si>
    <t>tt0797601</t>
  </si>
  <si>
    <t>e151p</t>
  </si>
  <si>
    <t>tt0905875</t>
  </si>
  <si>
    <t>Great Plains</t>
  </si>
  <si>
    <t>e152p</t>
  </si>
  <si>
    <t>tt0905877</t>
  </si>
  <si>
    <t>e153p</t>
  </si>
  <si>
    <t>tt0905880</t>
  </si>
  <si>
    <t>Shallow Seas</t>
  </si>
  <si>
    <t>Planet Earth II</t>
  </si>
  <si>
    <t>e162p</t>
  </si>
  <si>
    <t>tt6209134</t>
  </si>
  <si>
    <t>GB; US</t>
  </si>
  <si>
    <t>Ed Charles</t>
  </si>
  <si>
    <t>e075p</t>
  </si>
  <si>
    <t>tt6209144</t>
  </si>
  <si>
    <t>GB; DE; FR; CN; US</t>
  </si>
  <si>
    <t>Fredi Devas</t>
  </si>
  <si>
    <t>Cities</t>
  </si>
  <si>
    <t>e159p</t>
  </si>
  <si>
    <t>tt6142646</t>
  </si>
  <si>
    <t>Elizabeth White</t>
  </si>
  <si>
    <t>Islands</t>
  </si>
  <si>
    <t>e160p</t>
  </si>
  <si>
    <t>tt6209126</t>
  </si>
  <si>
    <t>Justin Anderson</t>
  </si>
  <si>
    <t>e161p</t>
  </si>
  <si>
    <t>tt6209130</t>
  </si>
  <si>
    <t>Emma Napper</t>
  </si>
  <si>
    <t>e163p</t>
  </si>
  <si>
    <t>tt6209140</t>
  </si>
  <si>
    <t>Chadden Hunter</t>
  </si>
  <si>
    <t>Grasslands</t>
  </si>
  <si>
    <t>Planet Earth III</t>
  </si>
  <si>
    <t>e076p</t>
  </si>
  <si>
    <t>tt10750264</t>
  </si>
  <si>
    <t>Escalation / de-escalation; Collision</t>
  </si>
  <si>
    <t>e077p</t>
  </si>
  <si>
    <t>tt29585012</t>
  </si>
  <si>
    <t>Deserts And Grasslands</t>
  </si>
  <si>
    <t>e196p</t>
  </si>
  <si>
    <t>tt29584994</t>
  </si>
  <si>
    <t>Ocean</t>
  </si>
  <si>
    <t>e197p</t>
  </si>
  <si>
    <t>tt29585022</t>
  </si>
  <si>
    <t>Freshwater</t>
  </si>
  <si>
    <t>Disruptive scaling</t>
  </si>
  <si>
    <t>e078p</t>
  </si>
  <si>
    <t>tt29585025</t>
  </si>
  <si>
    <t>Extremes</t>
  </si>
  <si>
    <t>e079p</t>
  </si>
  <si>
    <t>tt29585027</t>
  </si>
  <si>
    <t>Human</t>
  </si>
  <si>
    <t>e080p</t>
  </si>
  <si>
    <t>tt29585028</t>
  </si>
  <si>
    <t>Heroes</t>
  </si>
  <si>
    <t>e198p</t>
  </si>
  <si>
    <t>tt29585026</t>
  </si>
  <si>
    <t>Planet Earth: The Future</t>
  </si>
  <si>
    <t>e156p</t>
  </si>
  <si>
    <t>tt1422382</t>
  </si>
  <si>
    <t>Abigail Lees; Sarah Whalley</t>
  </si>
  <si>
    <t>Saving Species</t>
  </si>
  <si>
    <t>e157p</t>
  </si>
  <si>
    <t>tt1422380</t>
  </si>
  <si>
    <t>Into the Wilderness</t>
  </si>
  <si>
    <t>e158p</t>
  </si>
  <si>
    <t>tt1422381</t>
  </si>
  <si>
    <t>Living Together</t>
  </si>
  <si>
    <t>Roter Himmel</t>
  </si>
  <si>
    <t>f041r</t>
  </si>
  <si>
    <t>tt26440619</t>
  </si>
  <si>
    <t>Christian Petzold</t>
  </si>
  <si>
    <t>102 Min.</t>
  </si>
  <si>
    <t>Escalation / de-escalation; Unintended Consequences</t>
  </si>
  <si>
    <t>Seven Worlds One Planet</t>
  </si>
  <si>
    <t>e081s</t>
  </si>
  <si>
    <t>tt10340162</t>
  </si>
  <si>
    <t>GB; CN; US; DE; FR</t>
  </si>
  <si>
    <t>Anarctica</t>
  </si>
  <si>
    <t>e083s</t>
  </si>
  <si>
    <t>tt10340166</t>
  </si>
  <si>
    <t>South America</t>
  </si>
  <si>
    <t>Escalation / de-escalation; Disruptive scaling; Collision</t>
  </si>
  <si>
    <t>e082s</t>
  </si>
  <si>
    <t>tt10340164</t>
  </si>
  <si>
    <t>Asia</t>
  </si>
  <si>
    <t>e084s</t>
  </si>
  <si>
    <t>tt10340168</t>
  </si>
  <si>
    <t>e085s</t>
  </si>
  <si>
    <t>tt10340170</t>
  </si>
  <si>
    <t>Giles Badger</t>
  </si>
  <si>
    <t>Europe</t>
  </si>
  <si>
    <t>e086s</t>
  </si>
  <si>
    <t>tt10340178</t>
  </si>
  <si>
    <t>North America</t>
  </si>
  <si>
    <t>e087s</t>
  </si>
  <si>
    <t>tt10340176</t>
  </si>
  <si>
    <t>Africa</t>
  </si>
  <si>
    <t>Sila</t>
  </si>
  <si>
    <t>f017s</t>
  </si>
  <si>
    <t>tt4067672</t>
  </si>
  <si>
    <t>CH; US; GL</t>
  </si>
  <si>
    <t>Corina Gamma</t>
  </si>
  <si>
    <t>70 Min.</t>
  </si>
  <si>
    <t>Six Degrees Could Change the World</t>
  </si>
  <si>
    <t>f006s</t>
  </si>
  <si>
    <t>tt1224519</t>
  </si>
  <si>
    <t>2008</t>
  </si>
  <si>
    <t>Ron Bowman</t>
  </si>
  <si>
    <t>Take Shelter</t>
  </si>
  <si>
    <t>f054t</t>
  </si>
  <si>
    <t>tt1675192</t>
  </si>
  <si>
    <t>Jeff Nichols</t>
  </si>
  <si>
    <t>120 Min.</t>
  </si>
  <si>
    <t>Tending Nature</t>
  </si>
  <si>
    <t>e089t</t>
  </si>
  <si>
    <t>tt13267568</t>
  </si>
  <si>
    <t>Corbett Jones; Anna Rau</t>
  </si>
  <si>
    <t>27 Min.</t>
  </si>
  <si>
    <t>Decolonizing Cuisine with Mak-'amham</t>
  </si>
  <si>
    <t>e090t</t>
  </si>
  <si>
    <t>tt13292504</t>
  </si>
  <si>
    <t>S03E01</t>
  </si>
  <si>
    <t>Guarding Ancestral Grounds with the Wiyot</t>
  </si>
  <si>
    <t>e091t</t>
  </si>
  <si>
    <t>Healing the Body with United Indian Health Service</t>
  </si>
  <si>
    <t>e092t</t>
  </si>
  <si>
    <t>tt13272436</t>
  </si>
  <si>
    <t>Holistic Healing with the Syuxtun Collective</t>
  </si>
  <si>
    <t>e093t</t>
  </si>
  <si>
    <t>Managing Groundwater with the Paiute</t>
  </si>
  <si>
    <t>e094t</t>
  </si>
  <si>
    <t>tt13292578</t>
  </si>
  <si>
    <t>S03E04</t>
  </si>
  <si>
    <t>Cultivating Native Foodways with the Cultural Conservancy</t>
  </si>
  <si>
    <t>e095t</t>
  </si>
  <si>
    <t>tt13292542</t>
  </si>
  <si>
    <t>25 Min.</t>
  </si>
  <si>
    <t>Preserving the Desert with NALC</t>
  </si>
  <si>
    <t>e096t</t>
  </si>
  <si>
    <t>tt13267528</t>
  </si>
  <si>
    <t>Protecting The Coast with the Tolowa Dee-Ni'</t>
  </si>
  <si>
    <t>e097t</t>
  </si>
  <si>
    <t>tt13292560</t>
  </si>
  <si>
    <t>S03E03</t>
  </si>
  <si>
    <t>Reclaiming Agriculture with the Yocha Dehe Wintun Nation</t>
  </si>
  <si>
    <t>e098t</t>
  </si>
  <si>
    <t>Restoring The River with the Yurok</t>
  </si>
  <si>
    <t>e099t</t>
  </si>
  <si>
    <t>tt13267616</t>
  </si>
  <si>
    <t>Rethinking The Coast with the Ti'at Society</t>
  </si>
  <si>
    <t>e100t</t>
  </si>
  <si>
    <t>tt13267582</t>
  </si>
  <si>
    <t>Tribal Hunting with the Pit River Peoples</t>
  </si>
  <si>
    <t>e192t</t>
  </si>
  <si>
    <t>Special: Indigenous Land Stewardship</t>
  </si>
  <si>
    <t>Tending the Wild</t>
  </si>
  <si>
    <t>e185t</t>
  </si>
  <si>
    <t>18 Min.</t>
  </si>
  <si>
    <t>Cultural Burning</t>
  </si>
  <si>
    <t>e186t</t>
  </si>
  <si>
    <t>Keeping the River</t>
  </si>
  <si>
    <t>e187t</t>
  </si>
  <si>
    <t>15 Min.</t>
  </si>
  <si>
    <t>Weaving Community</t>
  </si>
  <si>
    <t>e188t</t>
  </si>
  <si>
    <t>Decolonizing the Diet</t>
  </si>
  <si>
    <t>e189t</t>
  </si>
  <si>
    <t>12 Min.</t>
  </si>
  <si>
    <t>Gathering Medicine</t>
  </si>
  <si>
    <t>e190t</t>
  </si>
  <si>
    <t>Living Desert</t>
  </si>
  <si>
    <t>e191t</t>
  </si>
  <si>
    <t>Special</t>
  </si>
  <si>
    <t>Tenet</t>
  </si>
  <si>
    <t>f055t</t>
  </si>
  <si>
    <t>tt6723592</t>
  </si>
  <si>
    <t>Christopher Nolan</t>
  </si>
  <si>
    <t>150 Min.</t>
  </si>
  <si>
    <t>Tenki no ko</t>
  </si>
  <si>
    <t>f060t</t>
  </si>
  <si>
    <t>tt9426210</t>
  </si>
  <si>
    <t>JP; CN</t>
  </si>
  <si>
    <t>Makoto Shinkai</t>
  </si>
  <si>
    <t>Thank You for the Rain</t>
  </si>
  <si>
    <t>f011t</t>
  </si>
  <si>
    <t>tt6512856</t>
  </si>
  <si>
    <t>GB; NO</t>
  </si>
  <si>
    <t>Julia Dahr</t>
  </si>
  <si>
    <t>The 11th Hour</t>
  </si>
  <si>
    <t>f010t</t>
  </si>
  <si>
    <t>tt0492931</t>
  </si>
  <si>
    <t>Leila Conners; Nadia Conners</t>
  </si>
  <si>
    <t>95 Min.</t>
  </si>
  <si>
    <t>The Age of Stupid</t>
  </si>
  <si>
    <t>f001t</t>
  </si>
  <si>
    <t>tt1300563</t>
  </si>
  <si>
    <t>Franny Armstrong</t>
  </si>
  <si>
    <t>The Blue Planet</t>
  </si>
  <si>
    <t>e106t</t>
  </si>
  <si>
    <t>tt0846812</t>
  </si>
  <si>
    <t>GB; US; DE</t>
  </si>
  <si>
    <t>2002</t>
  </si>
  <si>
    <t>Ocean World</t>
  </si>
  <si>
    <t>e107t</t>
  </si>
  <si>
    <t>tt0846339</t>
  </si>
  <si>
    <t>2001</t>
  </si>
  <si>
    <t>e108t</t>
  </si>
  <si>
    <t>tt0846813</t>
  </si>
  <si>
    <t>Open Ocean</t>
  </si>
  <si>
    <t>e109t</t>
  </si>
  <si>
    <t>tt0846811</t>
  </si>
  <si>
    <t>Frozen Seas</t>
  </si>
  <si>
    <t>e110t</t>
  </si>
  <si>
    <t>tt0846814</t>
  </si>
  <si>
    <t>Seasonal Seas</t>
  </si>
  <si>
    <t>e111t</t>
  </si>
  <si>
    <t>tt0846810</t>
  </si>
  <si>
    <t>Coral Seas</t>
  </si>
  <si>
    <t>e112t</t>
  </si>
  <si>
    <t>tt0846815</t>
  </si>
  <si>
    <t>Tidal Seas</t>
  </si>
  <si>
    <t>e113t</t>
  </si>
  <si>
    <t>tt0846338</t>
  </si>
  <si>
    <t>The Day After Tomorrow</t>
  </si>
  <si>
    <t>f044t</t>
  </si>
  <si>
    <t>tt0319262</t>
  </si>
  <si>
    <t>2004</t>
  </si>
  <si>
    <t>Roland Emmerich</t>
  </si>
  <si>
    <t>124 Min</t>
  </si>
  <si>
    <t>The Great Warming</t>
  </si>
  <si>
    <t>f035t</t>
  </si>
  <si>
    <t>tt0904079</t>
  </si>
  <si>
    <t>CA; US</t>
  </si>
  <si>
    <t>Michael Taylor</t>
  </si>
  <si>
    <t>85 Min.</t>
  </si>
  <si>
    <t>The Green Planet</t>
  </si>
  <si>
    <t>e101t</t>
  </si>
  <si>
    <t>tt16997844</t>
  </si>
  <si>
    <t>GB; CN; DE; FR; US</t>
  </si>
  <si>
    <t>Paul Williams</t>
  </si>
  <si>
    <t>44 Min.</t>
  </si>
  <si>
    <t>Tropical Worlds</t>
  </si>
  <si>
    <t>e102t</t>
  </si>
  <si>
    <t>tt17070212</t>
  </si>
  <si>
    <t>Rosie Thomas</t>
  </si>
  <si>
    <t>Seasonal Worlds</t>
  </si>
  <si>
    <t>e103t</t>
  </si>
  <si>
    <t>tt17348690</t>
  </si>
  <si>
    <t>Desert Worlds</t>
  </si>
  <si>
    <t>e104t</t>
  </si>
  <si>
    <t>tt17352930</t>
  </si>
  <si>
    <t>Elisabeth Oakham</t>
  </si>
  <si>
    <t>Human Worlds</t>
  </si>
  <si>
    <t>e164t</t>
  </si>
  <si>
    <t>tt16997852</t>
  </si>
  <si>
    <t>Peter Bassett</t>
  </si>
  <si>
    <t>Water Worlds</t>
  </si>
  <si>
    <t>The Happening</t>
  </si>
  <si>
    <t>f061t</t>
  </si>
  <si>
    <t>tt0949731</t>
  </si>
  <si>
    <t>US; IN</t>
  </si>
  <si>
    <t>M. Night Shyamalan</t>
  </si>
  <si>
    <t>91 Min.</t>
  </si>
  <si>
    <t>The Hottest August</t>
  </si>
  <si>
    <t>f034t</t>
  </si>
  <si>
    <t>tt9761064</t>
  </si>
  <si>
    <t>Brett Story</t>
  </si>
  <si>
    <t>94 Min.</t>
  </si>
  <si>
    <t>The Human Element</t>
  </si>
  <si>
    <t>f030t</t>
  </si>
  <si>
    <t>tt7825894</t>
  </si>
  <si>
    <t>US; IS</t>
  </si>
  <si>
    <t>Matthew Testa</t>
  </si>
  <si>
    <t>76 Min.</t>
  </si>
  <si>
    <t>The Island President</t>
  </si>
  <si>
    <t>f033t</t>
  </si>
  <si>
    <t>tt1990352</t>
  </si>
  <si>
    <t>Jon Shenk</t>
  </si>
  <si>
    <t>The Last Survivors</t>
  </si>
  <si>
    <t>f050t</t>
  </si>
  <si>
    <t>tt2558318</t>
  </si>
  <si>
    <t>Tom Hammock</t>
  </si>
  <si>
    <t>The Living Planet</t>
  </si>
  <si>
    <t>e165t</t>
  </si>
  <si>
    <t>tt0842235</t>
  </si>
  <si>
    <t>1984</t>
  </si>
  <si>
    <t>Richard Brock</t>
  </si>
  <si>
    <t>The Building of the Earth</t>
  </si>
  <si>
    <t>e166t</t>
  </si>
  <si>
    <t>tt0842234</t>
  </si>
  <si>
    <t>The Frozen World</t>
  </si>
  <si>
    <t>e167t</t>
  </si>
  <si>
    <t>tt0842237</t>
  </si>
  <si>
    <t>Ian Calvert</t>
  </si>
  <si>
    <t>The Northern Forests</t>
  </si>
  <si>
    <t>e168t</t>
  </si>
  <si>
    <t>tt0842398</t>
  </si>
  <si>
    <t>e169t</t>
  </si>
  <si>
    <t>tt0842239</t>
  </si>
  <si>
    <t>Richard Matthews</t>
  </si>
  <si>
    <t>Seas of Grass</t>
  </si>
  <si>
    <t>e170t</t>
  </si>
  <si>
    <t>tt0842233</t>
  </si>
  <si>
    <t>The Baking Deserts</t>
  </si>
  <si>
    <t>e171t</t>
  </si>
  <si>
    <t>tt0842240</t>
  </si>
  <si>
    <t>The Sky Above</t>
  </si>
  <si>
    <t>e172t</t>
  </si>
  <si>
    <t>tt0842400</t>
  </si>
  <si>
    <t>Sweet Fresh Water</t>
  </si>
  <si>
    <t>e173t</t>
  </si>
  <si>
    <t>tt0842236</t>
  </si>
  <si>
    <t>The Margins of the Land</t>
  </si>
  <si>
    <t>e193t</t>
  </si>
  <si>
    <t>tt0842401</t>
  </si>
  <si>
    <t>Worlds Apart</t>
  </si>
  <si>
    <t>e194t</t>
  </si>
  <si>
    <t>tt0842238</t>
  </si>
  <si>
    <t>The Open Ocean</t>
  </si>
  <si>
    <t>The Magnitude of All Things</t>
  </si>
  <si>
    <t>f036t</t>
  </si>
  <si>
    <t>tt12397050</t>
  </si>
  <si>
    <t>Jennifer Abbott</t>
  </si>
  <si>
    <t>The Making of The Living Planet</t>
  </si>
  <si>
    <t>f195t</t>
  </si>
  <si>
    <t>n.n.</t>
  </si>
  <si>
    <t>39 Min.</t>
  </si>
  <si>
    <t>The Road</t>
  </si>
  <si>
    <t>f051t</t>
  </si>
  <si>
    <t>tt0898367</t>
  </si>
  <si>
    <t>John Hillcoat</t>
  </si>
  <si>
    <t>The Trials of Life</t>
  </si>
  <si>
    <t>e105t</t>
  </si>
  <si>
    <t>tt0844239</t>
  </si>
  <si>
    <t>1990</t>
  </si>
  <si>
    <t>Michael Gunton</t>
  </si>
  <si>
    <t>Arriving</t>
  </si>
  <si>
    <t>e174t</t>
  </si>
  <si>
    <t>tt0844246</t>
  </si>
  <si>
    <t>Growing Up</t>
  </si>
  <si>
    <t>e175t</t>
  </si>
  <si>
    <t>tt0844243</t>
  </si>
  <si>
    <t>Finding Food</t>
  </si>
  <si>
    <t>e176t</t>
  </si>
  <si>
    <t>tt0844248</t>
  </si>
  <si>
    <t>Hunting and Escaping</t>
  </si>
  <si>
    <t>e177t</t>
  </si>
  <si>
    <t>tt0844244</t>
  </si>
  <si>
    <t>Finding the Way</t>
  </si>
  <si>
    <t>e178t</t>
  </si>
  <si>
    <t>tt0844247</t>
  </si>
  <si>
    <t>Homemaking</t>
  </si>
  <si>
    <t>e179t</t>
  </si>
  <si>
    <t>tt0844249</t>
  </si>
  <si>
    <t>e180t</t>
  </si>
  <si>
    <t>tt0844242</t>
  </si>
  <si>
    <t>Fighting</t>
  </si>
  <si>
    <t>e181t</t>
  </si>
  <si>
    <t>tt0844245</t>
  </si>
  <si>
    <t>47 Min.</t>
  </si>
  <si>
    <t>Friends and Rivals</t>
  </si>
  <si>
    <t>e182t</t>
  </si>
  <si>
    <t>tt0844250</t>
  </si>
  <si>
    <t>Talking to Strangers</t>
  </si>
  <si>
    <t>e183t</t>
  </si>
  <si>
    <t>tt0844241</t>
  </si>
  <si>
    <t>Courting</t>
  </si>
  <si>
    <t>e184t</t>
  </si>
  <si>
    <t>tt0844240</t>
  </si>
  <si>
    <t>Continuing the Line</t>
  </si>
  <si>
    <t>This Changes Everything</t>
  </si>
  <si>
    <t>f027t</t>
  </si>
  <si>
    <t>tt1870548</t>
  </si>
  <si>
    <t>Avi Lewis</t>
  </si>
  <si>
    <t>ThuleTuvalu</t>
  </si>
  <si>
    <t>f021t</t>
  </si>
  <si>
    <t>tt3438802</t>
  </si>
  <si>
    <t>TV; GL; CH</t>
  </si>
  <si>
    <t>Matthias von Gunten</t>
  </si>
  <si>
    <t>Tides</t>
  </si>
  <si>
    <t>f048t</t>
  </si>
  <si>
    <t>tt6506264</t>
  </si>
  <si>
    <t>DE; CH</t>
  </si>
  <si>
    <t>Une fois que tu sais</t>
  </si>
  <si>
    <t>f008u</t>
  </si>
  <si>
    <t>tt9430820</t>
  </si>
  <si>
    <t>Emmanuel Cappellin</t>
  </si>
  <si>
    <t>Destabilization / Restabilization; Escalation / de-escalation; Unintended Consequences</t>
  </si>
  <si>
    <t>Vesper</t>
  </si>
  <si>
    <t>f039v</t>
  </si>
  <si>
    <t>tt20225374</t>
  </si>
  <si>
    <t>LT; FR; GB; BE</t>
  </si>
  <si>
    <t>Kristina Buozyte; Bruno Samper</t>
  </si>
  <si>
    <t>Weitermachen Sanssouci</t>
  </si>
  <si>
    <t>f053w</t>
  </si>
  <si>
    <t>tt7939182</t>
  </si>
  <si>
    <t>Max Linz</t>
  </si>
  <si>
    <t>80 Min.</t>
  </si>
  <si>
    <t>Destabilization / Restabilization; Non-linear temporalities; Disruptive scaling; Post-anthropocentric reperspectivations</t>
  </si>
  <si>
    <t>Wer Wir Waren</t>
  </si>
  <si>
    <t>f003w</t>
  </si>
  <si>
    <t>tt12184602</t>
  </si>
  <si>
    <t>Marc Bauder</t>
  </si>
  <si>
    <t>Young Ones</t>
  </si>
  <si>
    <t>f056y</t>
  </si>
  <si>
    <t>tt2693664</t>
  </si>
  <si>
    <t>US; IE; ZA</t>
  </si>
  <si>
    <t>Jake Paltrow</t>
  </si>
  <si>
    <t>100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</si>
</sst>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&quot;ru&quot;e&quot;/Fal&quot;se"/>
    <numFmt numFmtId="165" formatCode="_-* #,##0.00_-;\-* #,##0.00_-;_-* \-??_-;_-@_-"/>
    <numFmt numFmtId="166" formatCode="&quot;PT&quot;#\H##\M"/>
  </numFmts>
  <fonts count="4" x14ac:knownFonts="1">
    <font>
      <sz val="10"/>
      <color rgb="FF000000"/>
      <name val="Arial"/>
      <charset val="1"/>
    </font>
    <font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3" fillId="0" borderId="0" applyBorder="0" applyProtection="0"/>
    <xf numFmtId="164" fontId="3" fillId="0" borderId="0"/>
  </cellStyleXfs>
  <cellXfs count="18">
    <xf numFmtId="0" fontId="0" fillId="0" borderId="0" xfId="0"/>
    <xf numFmtId="165" fontId="3" fillId="0" borderId="0" xfId="1" applyBorder="1" applyProtection="1"/>
    <xf numFmtId="0" fontId="0" fillId="0" borderId="0" xfId="0" applyAlignment="1">
      <alignment wrapText="1"/>
    </xf>
    <xf numFmtId="164" fontId="3" fillId="0" borderId="0" xfId="2"/>
    <xf numFmtId="49" fontId="1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166" fontId="2" fillId="0" borderId="1" xfId="1" applyNumberFormat="1" applyFont="1" applyBorder="1" applyAlignment="1" applyProtection="1">
      <alignment vertical="center"/>
    </xf>
    <xf numFmtId="49" fontId="1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164" fontId="3" fillId="0" borderId="1" xfId="2" applyBorder="1"/>
    <xf numFmtId="0" fontId="0" fillId="0" borderId="1" xfId="0" applyBorder="1"/>
    <xf numFmtId="2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2" fontId="0" fillId="0" borderId="1" xfId="0" applyNumberFormat="1" applyBorder="1" applyAlignment="1">
      <alignment wrapText="1"/>
    </xf>
    <xf numFmtId="49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wrapText="1"/>
    </xf>
  </cellXfs>
  <cellStyles count="3">
    <cellStyle name="Komma" xfId="1" builtinId="3"/>
    <cellStyle name="Standard" xfId="0" builtinId="0"/>
    <cellStyle name="True/False" xfId="2" xr:uid="{00000000-0005-0000-0000-000006000000}"/>
  </cellStyles>
  <dxfs count="17">
    <dxf>
      <numFmt numFmtId="167" formatCode="&quot;PT&quot;##\M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8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4E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N226" totalsRowShown="0" headerRowDxfId="16" headerRowBorderDxfId="15">
  <autoFilter ref="A1:N226" xr:uid="{00000000-0009-0000-0100-000002000000}"/>
  <tableColumns count="14">
    <tableColumn id="1" xr3:uid="{00000000-0010-0000-0000-000001000000}" name="title" dataDxfId="14"/>
    <tableColumn id="2" xr3:uid="{00000000-0010-0000-0000-000002000000}" name="object_id" dataDxfId="13"/>
    <tableColumn id="3" xr3:uid="{00000000-0010-0000-0000-000003000000}" name="imdb_id" dataDxfId="12"/>
    <tableColumn id="4" xr3:uid="{00000000-0010-0000-0000-000004000000}" name="classification" dataDxfId="11"/>
    <tableColumn id="5" xr3:uid="{00000000-0010-0000-0000-000005000000}" name="country" dataDxfId="10"/>
    <tableColumn id="6" xr3:uid="{00000000-0010-0000-0000-000006000000}" name="year" dataDxfId="9"/>
    <tableColumn id="7" xr3:uid="{00000000-0010-0000-0000-000007000000}" name="director" dataDxfId="8"/>
    <tableColumn id="8" xr3:uid="{00000000-0010-0000-0000-000008000000}" name="runtime_min" dataDxfId="7"/>
    <tableColumn id="9" xr3:uid="{00000000-0010-0000-0000-000009000000}" name="duration_iso8601" dataDxfId="6"/>
    <tableColumn id="10" xr3:uid="{00000000-0010-0000-0000-00000A000000}" name="season_episode" dataDxfId="5"/>
    <tableColumn id="11" xr3:uid="{00000000-0010-0000-0000-00000B000000}" name="episode_title" dataDxfId="4"/>
    <tableColumn id="12" xr3:uid="{00000000-0010-0000-0000-00000C000000}" name="modes_intervention" dataDxfId="3"/>
    <tableColumn id="13" xr3:uid="{00000000-0010-0000-0000-00000D000000}" name="annotation_data" dataDxfId="2"/>
    <tableColumn id="14" xr3:uid="{00000000-0010-0000-0000-00000E000000}" name="moviebarcode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6"/>
  <sheetViews>
    <sheetView tabSelected="1" zoomScale="239" zoomScaleNormal="239" workbookViewId="0">
      <selection activeCell="A7" sqref="A7"/>
    </sheetView>
  </sheetViews>
  <sheetFormatPr baseColWidth="10" defaultColWidth="8.83203125" defaultRowHeight="13" x14ac:dyDescent="0.15"/>
  <cols>
    <col min="1" max="1" width="62.5" customWidth="1"/>
    <col min="2" max="2" width="11.6640625" customWidth="1"/>
    <col min="3" max="3" width="22.6640625" customWidth="1"/>
    <col min="4" max="8" width="16.33203125" customWidth="1"/>
    <col min="9" max="9" width="23.1640625" style="1" customWidth="1"/>
    <col min="10" max="10" width="16.33203125" customWidth="1"/>
    <col min="11" max="11" width="23.5" style="2" customWidth="1"/>
    <col min="12" max="12" width="38.83203125" style="2" customWidth="1"/>
    <col min="13" max="13" width="18.1640625" style="3" customWidth="1"/>
    <col min="14" max="14" width="16.6640625" customWidth="1"/>
    <col min="15" max="15" width="12.5" customWidth="1"/>
    <col min="16" max="16" width="10.83203125" customWidth="1"/>
  </cols>
  <sheetData>
    <row r="1" spans="1:14" ht="14" x14ac:dyDescent="0.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7" t="s">
        <v>10</v>
      </c>
      <c r="L1" s="17" t="s">
        <v>11</v>
      </c>
      <c r="M1" s="9" t="s">
        <v>12</v>
      </c>
      <c r="N1" s="10" t="s">
        <v>13</v>
      </c>
    </row>
    <row r="2" spans="1:14" ht="14" x14ac:dyDescent="0.15">
      <c r="A2" s="4" t="s">
        <v>14</v>
      </c>
      <c r="B2" s="4" t="s">
        <v>15</v>
      </c>
      <c r="C2" s="5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5" t="s">
        <v>21</v>
      </c>
      <c r="I2" s="6">
        <f>INT(VALUE(LEFT(Table2[[#This Row],[runtime_min]],FIND(" ",Table2[[#This Row],[runtime_min]])-1))/60)*100 + MOD(VALUE(LEFT(Table2[[#This Row],[runtime_min]],FIND(" ",Table2[[#This Row],[runtime_min]])-1)),60)</f>
        <v>132</v>
      </c>
      <c r="J2" s="4"/>
      <c r="K2" s="7"/>
      <c r="L2" s="8" t="s">
        <v>22</v>
      </c>
      <c r="M2" s="9" t="s">
        <v>23</v>
      </c>
      <c r="N2" s="10" t="s">
        <v>23</v>
      </c>
    </row>
    <row r="3" spans="1:14" x14ac:dyDescent="0.15">
      <c r="A3" s="4" t="s">
        <v>24</v>
      </c>
      <c r="B3" s="4" t="s">
        <v>25</v>
      </c>
      <c r="C3" s="5" t="s">
        <v>26</v>
      </c>
      <c r="D3" s="4" t="s">
        <v>27</v>
      </c>
      <c r="E3" s="4" t="s">
        <v>18</v>
      </c>
      <c r="F3" s="4" t="s">
        <v>28</v>
      </c>
      <c r="G3" s="4" t="s">
        <v>29</v>
      </c>
      <c r="H3" s="5" t="s">
        <v>30</v>
      </c>
      <c r="I3" s="6">
        <f>INT(VALUE(LEFT(Table2[[#This Row],[runtime_min]],FIND(" ",Table2[[#This Row],[runtime_min]])-1))/60)*100 + MOD(VALUE(LEFT(Table2[[#This Row],[runtime_min]],FIND(" ",Table2[[#This Row],[runtime_min]])-1)),60)</f>
        <v>154</v>
      </c>
      <c r="J3" s="4"/>
      <c r="K3" s="7"/>
      <c r="L3" s="11"/>
      <c r="M3" s="9" t="s">
        <v>31</v>
      </c>
      <c r="N3" s="10" t="s">
        <v>23</v>
      </c>
    </row>
    <row r="4" spans="1:14" x14ac:dyDescent="0.15">
      <c r="A4" s="4" t="s">
        <v>32</v>
      </c>
      <c r="B4" s="4" t="s">
        <v>33</v>
      </c>
      <c r="C4" s="5" t="s">
        <v>34</v>
      </c>
      <c r="D4" s="4" t="s">
        <v>17</v>
      </c>
      <c r="E4" s="4" t="s">
        <v>35</v>
      </c>
      <c r="F4" s="4" t="s">
        <v>36</v>
      </c>
      <c r="G4" s="4" t="s">
        <v>37</v>
      </c>
      <c r="H4" s="5" t="s">
        <v>38</v>
      </c>
      <c r="I4" s="6">
        <f>INT(VALUE(LEFT(Table2[[#This Row],[runtime_min]],FIND(" ",Table2[[#This Row],[runtime_min]])-1))/60)*100 + MOD(VALUE(LEFT(Table2[[#This Row],[runtime_min]],FIND(" ",Table2[[#This Row],[runtime_min]])-1)),60)</f>
        <v>137</v>
      </c>
      <c r="J4" s="4"/>
      <c r="K4" s="7"/>
      <c r="L4" s="11"/>
      <c r="M4" s="9" t="s">
        <v>31</v>
      </c>
      <c r="N4" s="10" t="s">
        <v>23</v>
      </c>
    </row>
    <row r="5" spans="1:14" x14ac:dyDescent="0.15">
      <c r="A5" s="4" t="s">
        <v>39</v>
      </c>
      <c r="B5" s="4" t="s">
        <v>40</v>
      </c>
      <c r="C5" s="5" t="s">
        <v>41</v>
      </c>
      <c r="D5" s="4" t="s">
        <v>17</v>
      </c>
      <c r="E5" s="4" t="s">
        <v>35</v>
      </c>
      <c r="F5" s="4" t="s">
        <v>36</v>
      </c>
      <c r="G5" s="4" t="s">
        <v>42</v>
      </c>
      <c r="H5" s="5" t="s">
        <v>43</v>
      </c>
      <c r="I5" s="6">
        <f>INT(VALUE(LEFT(Table2[[#This Row],[runtime_min]],FIND(" ",Table2[[#This Row],[runtime_min]])-1))/60)*100 + MOD(VALUE(LEFT(Table2[[#This Row],[runtime_min]],FIND(" ",Table2[[#This Row],[runtime_min]])-1)),60)</f>
        <v>138</v>
      </c>
      <c r="J5" s="4"/>
      <c r="K5" s="7"/>
      <c r="L5" s="11"/>
      <c r="M5" s="9" t="s">
        <v>31</v>
      </c>
      <c r="N5" s="10" t="s">
        <v>23</v>
      </c>
    </row>
    <row r="6" spans="1:14" x14ac:dyDescent="0.15">
      <c r="A6" s="4" t="s">
        <v>44</v>
      </c>
      <c r="B6" s="4" t="s">
        <v>45</v>
      </c>
      <c r="C6" s="5" t="s">
        <v>46</v>
      </c>
      <c r="D6" s="4" t="s">
        <v>17</v>
      </c>
      <c r="E6" s="4" t="s">
        <v>35</v>
      </c>
      <c r="F6" s="4" t="s">
        <v>47</v>
      </c>
      <c r="G6" s="4" t="s">
        <v>48</v>
      </c>
      <c r="H6" s="5" t="s">
        <v>49</v>
      </c>
      <c r="I6" s="6">
        <f>INT(VALUE(LEFT(Table2[[#This Row],[runtime_min]],FIND(" ",Table2[[#This Row],[runtime_min]])-1))/60)*100 + MOD(VALUE(LEFT(Table2[[#This Row],[runtime_min]],FIND(" ",Table2[[#This Row],[runtime_min]])-1)),60)</f>
        <v>136</v>
      </c>
      <c r="J6" s="4"/>
      <c r="K6" s="7"/>
      <c r="L6" s="11"/>
      <c r="M6" s="9" t="s">
        <v>31</v>
      </c>
      <c r="N6" s="10" t="s">
        <v>23</v>
      </c>
    </row>
    <row r="7" spans="1:14" x14ac:dyDescent="0.15">
      <c r="A7" s="4" t="s">
        <v>50</v>
      </c>
      <c r="B7" s="4" t="s">
        <v>51</v>
      </c>
      <c r="C7" s="5" t="s">
        <v>52</v>
      </c>
      <c r="D7" s="4" t="s">
        <v>27</v>
      </c>
      <c r="E7" s="4" t="s">
        <v>53</v>
      </c>
      <c r="F7" s="4" t="s">
        <v>19</v>
      </c>
      <c r="G7" s="4" t="s">
        <v>54</v>
      </c>
      <c r="H7" s="5" t="s">
        <v>55</v>
      </c>
      <c r="I7" s="6">
        <f>INT(VALUE(LEFT(Table2[[#This Row],[runtime_min]],FIND(" ",Table2[[#This Row],[runtime_min]])-1))/60)*100 + MOD(VALUE(LEFT(Table2[[#This Row],[runtime_min]],FIND(" ",Table2[[#This Row],[runtime_min]])-1)),60)</f>
        <v>155</v>
      </c>
      <c r="J7" s="4"/>
      <c r="K7" s="7"/>
      <c r="L7" s="11"/>
      <c r="M7" s="9" t="s">
        <v>31</v>
      </c>
      <c r="N7" s="10" t="s">
        <v>23</v>
      </c>
    </row>
    <row r="8" spans="1:14" x14ac:dyDescent="0.15">
      <c r="A8" s="4" t="s">
        <v>56</v>
      </c>
      <c r="B8" s="4" t="s">
        <v>57</v>
      </c>
      <c r="C8" s="5" t="s">
        <v>58</v>
      </c>
      <c r="D8" s="4" t="s">
        <v>27</v>
      </c>
      <c r="E8" s="4" t="s">
        <v>35</v>
      </c>
      <c r="F8" s="4" t="s">
        <v>59</v>
      </c>
      <c r="G8" s="4" t="s">
        <v>60</v>
      </c>
      <c r="H8" s="5" t="s">
        <v>21</v>
      </c>
      <c r="I8" s="6">
        <f>INT(VALUE(LEFT(Table2[[#This Row],[runtime_min]],FIND(" ",Table2[[#This Row],[runtime_min]])-1))/60)*100 + MOD(VALUE(LEFT(Table2[[#This Row],[runtime_min]],FIND(" ",Table2[[#This Row],[runtime_min]])-1)),60)</f>
        <v>132</v>
      </c>
      <c r="J8" s="4"/>
      <c r="K8" s="7"/>
      <c r="L8" s="11"/>
      <c r="M8" s="9" t="s">
        <v>31</v>
      </c>
      <c r="N8" s="10" t="s">
        <v>23</v>
      </c>
    </row>
    <row r="9" spans="1:14" ht="42" x14ac:dyDescent="0.15">
      <c r="A9" s="4" t="s">
        <v>61</v>
      </c>
      <c r="B9" s="4" t="s">
        <v>62</v>
      </c>
      <c r="C9" s="5" t="s">
        <v>63</v>
      </c>
      <c r="D9" s="4" t="s">
        <v>17</v>
      </c>
      <c r="E9" s="4" t="s">
        <v>64</v>
      </c>
      <c r="F9" s="4" t="s">
        <v>19</v>
      </c>
      <c r="G9" s="4" t="s">
        <v>65</v>
      </c>
      <c r="H9" s="5" t="s">
        <v>66</v>
      </c>
      <c r="I9" s="6">
        <f>INT(VALUE(LEFT(Table2[[#This Row],[runtime_min]],FIND(" ",Table2[[#This Row],[runtime_min]])-1))/60)*100 + MOD(VALUE(LEFT(Table2[[#This Row],[runtime_min]],FIND(" ",Table2[[#This Row],[runtime_min]])-1)),60)</f>
        <v>127</v>
      </c>
      <c r="J9" s="4"/>
      <c r="K9" s="7"/>
      <c r="L9" s="11" t="s">
        <v>67</v>
      </c>
      <c r="M9" s="9" t="s">
        <v>23</v>
      </c>
      <c r="N9" s="10" t="s">
        <v>23</v>
      </c>
    </row>
    <row r="10" spans="1:14" ht="42" x14ac:dyDescent="0.15">
      <c r="A10" s="4" t="s">
        <v>68</v>
      </c>
      <c r="B10" s="4" t="s">
        <v>69</v>
      </c>
      <c r="C10" s="5" t="s">
        <v>70</v>
      </c>
      <c r="D10" s="4" t="s">
        <v>17</v>
      </c>
      <c r="E10" s="4" t="s">
        <v>35</v>
      </c>
      <c r="F10" s="4" t="s">
        <v>36</v>
      </c>
      <c r="G10" s="4" t="s">
        <v>71</v>
      </c>
      <c r="H10" s="5" t="s">
        <v>72</v>
      </c>
      <c r="I10" s="6">
        <f>INT(VALUE(LEFT(Table2[[#This Row],[runtime_min]],FIND(" ",Table2[[#This Row],[runtime_min]])-1))/60)*100 + MOD(VALUE(LEFT(Table2[[#This Row],[runtime_min]],FIND(" ",Table2[[#This Row],[runtime_min]])-1)),60)</f>
        <v>129</v>
      </c>
      <c r="J10" s="4"/>
      <c r="K10" s="7"/>
      <c r="L10" s="11" t="s">
        <v>73</v>
      </c>
      <c r="M10" s="9" t="s">
        <v>23</v>
      </c>
      <c r="N10" s="10" t="s">
        <v>23</v>
      </c>
    </row>
    <row r="11" spans="1:14" ht="14" x14ac:dyDescent="0.15">
      <c r="A11" s="4" t="s">
        <v>74</v>
      </c>
      <c r="B11" s="4" t="s">
        <v>75</v>
      </c>
      <c r="C11" s="5" t="s">
        <v>76</v>
      </c>
      <c r="D11" s="4" t="s">
        <v>27</v>
      </c>
      <c r="E11" s="4" t="s">
        <v>35</v>
      </c>
      <c r="F11" s="4" t="s">
        <v>77</v>
      </c>
      <c r="G11" s="4" t="s">
        <v>78</v>
      </c>
      <c r="H11" s="5" t="s">
        <v>79</v>
      </c>
      <c r="I11" s="6">
        <f>INT(VALUE(LEFT(Table2[[#This Row],[runtime_min]],FIND(" ",Table2[[#This Row],[runtime_min]])-1))/60)*100 + MOD(VALUE(LEFT(Table2[[#This Row],[runtime_min]],FIND(" ",Table2[[#This Row],[runtime_min]])-1)),60)</f>
        <v>133</v>
      </c>
      <c r="J11" s="4"/>
      <c r="K11" s="7"/>
      <c r="L11" s="11" t="s">
        <v>80</v>
      </c>
      <c r="M11" s="9" t="s">
        <v>23</v>
      </c>
      <c r="N11" s="10" t="s">
        <v>23</v>
      </c>
    </row>
    <row r="12" spans="1:14" ht="14" x14ac:dyDescent="0.15">
      <c r="A12" s="4" t="s">
        <v>81</v>
      </c>
      <c r="B12" s="4" t="s">
        <v>82</v>
      </c>
      <c r="C12" s="5" t="s">
        <v>83</v>
      </c>
      <c r="D12" s="4" t="s">
        <v>17</v>
      </c>
      <c r="E12" s="4" t="s">
        <v>35</v>
      </c>
      <c r="F12" s="4" t="s">
        <v>84</v>
      </c>
      <c r="G12" s="4" t="s">
        <v>85</v>
      </c>
      <c r="H12" s="5" t="s">
        <v>49</v>
      </c>
      <c r="I12" s="6">
        <f>INT(VALUE(LEFT(Table2[[#This Row],[runtime_min]],FIND(" ",Table2[[#This Row],[runtime_min]])-1))/60)*100 + MOD(VALUE(LEFT(Table2[[#This Row],[runtime_min]],FIND(" ",Table2[[#This Row],[runtime_min]])-1)),60)</f>
        <v>136</v>
      </c>
      <c r="J12" s="4"/>
      <c r="K12" s="7"/>
      <c r="L12" s="11" t="s">
        <v>22</v>
      </c>
      <c r="M12" s="9" t="s">
        <v>23</v>
      </c>
      <c r="N12" s="10" t="s">
        <v>23</v>
      </c>
    </row>
    <row r="13" spans="1:14" x14ac:dyDescent="0.15">
      <c r="A13" s="4" t="s">
        <v>86</v>
      </c>
      <c r="B13" s="4" t="s">
        <v>87</v>
      </c>
      <c r="C13" s="5" t="s">
        <v>88</v>
      </c>
      <c r="D13" s="4" t="s">
        <v>27</v>
      </c>
      <c r="E13" s="4" t="s">
        <v>89</v>
      </c>
      <c r="F13" s="4" t="s">
        <v>36</v>
      </c>
      <c r="G13" s="4" t="s">
        <v>90</v>
      </c>
      <c r="H13" s="5" t="s">
        <v>91</v>
      </c>
      <c r="I13" s="6">
        <f>INT(VALUE(LEFT(Table2[[#This Row],[runtime_min]],FIND(" ",Table2[[#This Row],[runtime_min]])-1))/60)*100 + MOD(VALUE(LEFT(Table2[[#This Row],[runtime_min]],FIND(" ",Table2[[#This Row],[runtime_min]])-1)),60)</f>
        <v>244</v>
      </c>
      <c r="J13" s="4"/>
      <c r="K13" s="7"/>
      <c r="L13" s="11"/>
      <c r="M13" s="9" t="s">
        <v>31</v>
      </c>
      <c r="N13" s="10" t="s">
        <v>23</v>
      </c>
    </row>
    <row r="14" spans="1:14" ht="14" x14ac:dyDescent="0.15">
      <c r="A14" s="4" t="s">
        <v>92</v>
      </c>
      <c r="B14" s="4" t="s">
        <v>93</v>
      </c>
      <c r="C14" s="5" t="s">
        <v>94</v>
      </c>
      <c r="D14" s="4" t="s">
        <v>95</v>
      </c>
      <c r="E14" s="4" t="s">
        <v>96</v>
      </c>
      <c r="F14" s="4" t="s">
        <v>19</v>
      </c>
      <c r="G14" s="4" t="s">
        <v>97</v>
      </c>
      <c r="H14" s="5" t="s">
        <v>98</v>
      </c>
      <c r="I14" s="6">
        <f>INT(VALUE(LEFT(Table2[[#This Row],[runtime_min]],FIND(" ",Table2[[#This Row],[runtime_min]])-1))/60)*100 + MOD(VALUE(LEFT(Table2[[#This Row],[runtime_min]],FIND(" ",Table2[[#This Row],[runtime_min]])-1)),60)</f>
        <v>51</v>
      </c>
      <c r="J14" s="4" t="s">
        <v>99</v>
      </c>
      <c r="K14" s="7" t="s">
        <v>100</v>
      </c>
      <c r="L14" s="11"/>
      <c r="M14" s="9" t="s">
        <v>31</v>
      </c>
      <c r="N14" s="10" t="s">
        <v>23</v>
      </c>
    </row>
    <row r="15" spans="1:14" ht="14" x14ac:dyDescent="0.15">
      <c r="A15" s="4" t="s">
        <v>92</v>
      </c>
      <c r="B15" s="4" t="s">
        <v>101</v>
      </c>
      <c r="C15" s="5" t="s">
        <v>102</v>
      </c>
      <c r="D15" s="4" t="s">
        <v>95</v>
      </c>
      <c r="E15" s="4" t="s">
        <v>96</v>
      </c>
      <c r="F15" s="4" t="s">
        <v>19</v>
      </c>
      <c r="G15" s="4" t="s">
        <v>97</v>
      </c>
      <c r="H15" s="5" t="s">
        <v>103</v>
      </c>
      <c r="I15" s="6">
        <f>INT(VALUE(LEFT(Table2[[#This Row],[runtime_min]],FIND(" ",Table2[[#This Row],[runtime_min]])-1))/60)*100 + MOD(VALUE(LEFT(Table2[[#This Row],[runtime_min]],FIND(" ",Table2[[#This Row],[runtime_min]])-1)),60)</f>
        <v>54</v>
      </c>
      <c r="J15" s="4" t="s">
        <v>104</v>
      </c>
      <c r="K15" s="7" t="s">
        <v>105</v>
      </c>
      <c r="L15" s="11"/>
      <c r="M15" s="9" t="s">
        <v>31</v>
      </c>
      <c r="N15" s="10" t="s">
        <v>23</v>
      </c>
    </row>
    <row r="16" spans="1:14" ht="14" x14ac:dyDescent="0.15">
      <c r="A16" s="4" t="s">
        <v>92</v>
      </c>
      <c r="B16" s="4" t="s">
        <v>106</v>
      </c>
      <c r="C16" s="5" t="s">
        <v>107</v>
      </c>
      <c r="D16" s="4" t="s">
        <v>95</v>
      </c>
      <c r="E16" s="4" t="s">
        <v>96</v>
      </c>
      <c r="F16" s="4" t="s">
        <v>19</v>
      </c>
      <c r="G16" s="4" t="s">
        <v>97</v>
      </c>
      <c r="H16" s="5" t="s">
        <v>108</v>
      </c>
      <c r="I16" s="6">
        <f>INT(VALUE(LEFT(Table2[[#This Row],[runtime_min]],FIND(" ",Table2[[#This Row],[runtime_min]])-1))/60)*100 + MOD(VALUE(LEFT(Table2[[#This Row],[runtime_min]],FIND(" ",Table2[[#This Row],[runtime_min]])-1)),60)</f>
        <v>52</v>
      </c>
      <c r="J16" s="4" t="s">
        <v>109</v>
      </c>
      <c r="K16" s="7" t="s">
        <v>110</v>
      </c>
      <c r="L16" s="11"/>
      <c r="M16" s="9" t="s">
        <v>31</v>
      </c>
      <c r="N16" s="10" t="s">
        <v>23</v>
      </c>
    </row>
    <row r="17" spans="1:14" ht="14" x14ac:dyDescent="0.15">
      <c r="A17" s="4" t="s">
        <v>92</v>
      </c>
      <c r="B17" s="4" t="s">
        <v>111</v>
      </c>
      <c r="C17" s="5" t="s">
        <v>112</v>
      </c>
      <c r="D17" s="4" t="s">
        <v>95</v>
      </c>
      <c r="E17" s="4" t="s">
        <v>96</v>
      </c>
      <c r="F17" s="4" t="s">
        <v>19</v>
      </c>
      <c r="G17" s="4" t="s">
        <v>97</v>
      </c>
      <c r="H17" s="5" t="s">
        <v>113</v>
      </c>
      <c r="I17" s="6">
        <f>INT(VALUE(LEFT(Table2[[#This Row],[runtime_min]],FIND(" ",Table2[[#This Row],[runtime_min]])-1))/60)*100 + MOD(VALUE(LEFT(Table2[[#This Row],[runtime_min]],FIND(" ",Table2[[#This Row],[runtime_min]])-1)),60)</f>
        <v>50</v>
      </c>
      <c r="J17" s="4" t="s">
        <v>114</v>
      </c>
      <c r="K17" s="7" t="s">
        <v>115</v>
      </c>
      <c r="L17" s="11"/>
      <c r="M17" s="9" t="s">
        <v>31</v>
      </c>
      <c r="N17" s="10" t="s">
        <v>23</v>
      </c>
    </row>
    <row r="18" spans="1:14" ht="14" x14ac:dyDescent="0.15">
      <c r="A18" s="4" t="s">
        <v>92</v>
      </c>
      <c r="B18" s="4" t="s">
        <v>116</v>
      </c>
      <c r="C18" s="5" t="s">
        <v>117</v>
      </c>
      <c r="D18" s="4" t="s">
        <v>95</v>
      </c>
      <c r="E18" s="4" t="s">
        <v>96</v>
      </c>
      <c r="F18" s="4" t="s">
        <v>19</v>
      </c>
      <c r="G18" s="4" t="s">
        <v>97</v>
      </c>
      <c r="H18" s="5" t="s">
        <v>118</v>
      </c>
      <c r="I18" s="6">
        <f>INT(VALUE(LEFT(Table2[[#This Row],[runtime_min]],FIND(" ",Table2[[#This Row],[runtime_min]])-1))/60)*100 + MOD(VALUE(LEFT(Table2[[#This Row],[runtime_min]],FIND(" ",Table2[[#This Row],[runtime_min]])-1)),60)</f>
        <v>53</v>
      </c>
      <c r="J18" s="4" t="s">
        <v>119</v>
      </c>
      <c r="K18" s="7" t="s">
        <v>120</v>
      </c>
      <c r="L18" s="11"/>
      <c r="M18" s="9" t="s">
        <v>31</v>
      </c>
      <c r="N18" s="10" t="s">
        <v>23</v>
      </c>
    </row>
    <row r="19" spans="1:14" ht="14" x14ac:dyDescent="0.15">
      <c r="A19" s="12" t="s">
        <v>92</v>
      </c>
      <c r="B19" s="4" t="s">
        <v>121</v>
      </c>
      <c r="C19" s="5" t="s">
        <v>122</v>
      </c>
      <c r="D19" s="4" t="s">
        <v>95</v>
      </c>
      <c r="E19" s="4" t="s">
        <v>96</v>
      </c>
      <c r="F19" s="4" t="s">
        <v>19</v>
      </c>
      <c r="G19" s="4" t="s">
        <v>97</v>
      </c>
      <c r="H19" s="5" t="s">
        <v>98</v>
      </c>
      <c r="I19" s="6">
        <f>INT(VALUE(LEFT(Table2[[#This Row],[runtime_min]],FIND(" ",Table2[[#This Row],[runtime_min]])-1))/60)*100 + MOD(VALUE(LEFT(Table2[[#This Row],[runtime_min]],FIND(" ",Table2[[#This Row],[runtime_min]])-1)),60)</f>
        <v>51</v>
      </c>
      <c r="J19" s="4" t="s">
        <v>123</v>
      </c>
      <c r="K19" s="7" t="s">
        <v>124</v>
      </c>
      <c r="L19" s="11"/>
      <c r="M19" s="9" t="s">
        <v>31</v>
      </c>
      <c r="N19" s="10" t="s">
        <v>23</v>
      </c>
    </row>
    <row r="20" spans="1:14" ht="14" x14ac:dyDescent="0.15">
      <c r="A20" s="12" t="s">
        <v>92</v>
      </c>
      <c r="B20" s="4" t="s">
        <v>125</v>
      </c>
      <c r="C20" s="5" t="s">
        <v>126</v>
      </c>
      <c r="D20" s="4" t="s">
        <v>95</v>
      </c>
      <c r="E20" s="4" t="s">
        <v>96</v>
      </c>
      <c r="F20" s="4" t="s">
        <v>19</v>
      </c>
      <c r="G20" s="4" t="s">
        <v>97</v>
      </c>
      <c r="H20" s="5" t="s">
        <v>118</v>
      </c>
      <c r="I20" s="6">
        <f>INT(VALUE(LEFT(Table2[[#This Row],[runtime_min]],FIND(" ",Table2[[#This Row],[runtime_min]])-1))/60)*100 + MOD(VALUE(LEFT(Table2[[#This Row],[runtime_min]],FIND(" ",Table2[[#This Row],[runtime_min]])-1)),60)</f>
        <v>53</v>
      </c>
      <c r="J20" s="4" t="s">
        <v>127</v>
      </c>
      <c r="K20" s="7" t="s">
        <v>128</v>
      </c>
      <c r="L20" s="11"/>
      <c r="M20" s="9" t="s">
        <v>31</v>
      </c>
      <c r="N20" s="10" t="s">
        <v>23</v>
      </c>
    </row>
    <row r="21" spans="1:14" x14ac:dyDescent="0.15">
      <c r="A21" s="4" t="s">
        <v>129</v>
      </c>
      <c r="B21" s="4" t="s">
        <v>130</v>
      </c>
      <c r="C21" s="5" t="s">
        <v>131</v>
      </c>
      <c r="D21" s="4" t="s">
        <v>17</v>
      </c>
      <c r="E21" s="4" t="s">
        <v>35</v>
      </c>
      <c r="F21" s="4" t="s">
        <v>132</v>
      </c>
      <c r="G21" s="4" t="s">
        <v>133</v>
      </c>
      <c r="H21" s="5" t="s">
        <v>134</v>
      </c>
      <c r="I21" s="6">
        <f>INT(VALUE(LEFT(Table2[[#This Row],[runtime_min]],FIND(" ",Table2[[#This Row],[runtime_min]])-1))/60)*100 + MOD(VALUE(LEFT(Table2[[#This Row],[runtime_min]],FIND(" ",Table2[[#This Row],[runtime_min]])-1)),60)</f>
        <v>126</v>
      </c>
      <c r="J21" s="4"/>
      <c r="K21" s="7"/>
      <c r="L21" s="11"/>
      <c r="M21" s="9" t="s">
        <v>31</v>
      </c>
      <c r="N21" s="10" t="s">
        <v>23</v>
      </c>
    </row>
    <row r="22" spans="1:14" x14ac:dyDescent="0.15">
      <c r="A22" s="4" t="s">
        <v>135</v>
      </c>
      <c r="B22" s="4" t="s">
        <v>136</v>
      </c>
      <c r="C22" s="5" t="s">
        <v>137</v>
      </c>
      <c r="D22" s="4" t="s">
        <v>17</v>
      </c>
      <c r="E22" s="4" t="s">
        <v>35</v>
      </c>
      <c r="F22" s="4" t="s">
        <v>77</v>
      </c>
      <c r="G22" s="4" t="s">
        <v>138</v>
      </c>
      <c r="H22" s="5" t="s">
        <v>139</v>
      </c>
      <c r="I22" s="6">
        <f>INT(VALUE(LEFT(Table2[[#This Row],[runtime_min]],FIND(" ",Table2[[#This Row],[runtime_min]])-1))/60)*100 + MOD(VALUE(LEFT(Table2[[#This Row],[runtime_min]],FIND(" ",Table2[[#This Row],[runtime_min]])-1)),60)</f>
        <v>115</v>
      </c>
      <c r="J22" s="4"/>
      <c r="K22" s="7"/>
      <c r="L22" s="11"/>
      <c r="M22" s="9" t="s">
        <v>31</v>
      </c>
      <c r="N22" s="10" t="s">
        <v>23</v>
      </c>
    </row>
    <row r="23" spans="1:14" x14ac:dyDescent="0.15">
      <c r="A23" s="4" t="s">
        <v>140</v>
      </c>
      <c r="B23" s="4" t="s">
        <v>141</v>
      </c>
      <c r="C23" s="5" t="s">
        <v>142</v>
      </c>
      <c r="D23" s="4" t="s">
        <v>27</v>
      </c>
      <c r="E23" s="4" t="s">
        <v>143</v>
      </c>
      <c r="F23" s="4" t="s">
        <v>47</v>
      </c>
      <c r="G23" s="4" t="s">
        <v>144</v>
      </c>
      <c r="H23" s="5" t="s">
        <v>145</v>
      </c>
      <c r="I23" s="6">
        <f>INT(VALUE(LEFT(Table2[[#This Row],[runtime_min]],FIND(" ",Table2[[#This Row],[runtime_min]])-1))/60)*100 + MOD(VALUE(LEFT(Table2[[#This Row],[runtime_min]],FIND(" ",Table2[[#This Row],[runtime_min]])-1)),60)</f>
        <v>149</v>
      </c>
      <c r="J23" s="4"/>
      <c r="K23" s="7"/>
      <c r="L23" s="11"/>
      <c r="M23" s="9" t="s">
        <v>31</v>
      </c>
      <c r="N23" s="10" t="s">
        <v>23</v>
      </c>
    </row>
    <row r="24" spans="1:14" x14ac:dyDescent="0.15">
      <c r="A24" s="4" t="s">
        <v>146</v>
      </c>
      <c r="B24" s="4" t="s">
        <v>147</v>
      </c>
      <c r="C24" s="5" t="s">
        <v>148</v>
      </c>
      <c r="D24" s="4" t="s">
        <v>17</v>
      </c>
      <c r="E24" s="4" t="s">
        <v>35</v>
      </c>
      <c r="F24" s="4" t="s">
        <v>132</v>
      </c>
      <c r="G24" s="4" t="s">
        <v>149</v>
      </c>
      <c r="H24" s="5" t="s">
        <v>134</v>
      </c>
      <c r="I24" s="6">
        <f>INT(VALUE(LEFT(Table2[[#This Row],[runtime_min]],FIND(" ",Table2[[#This Row],[runtime_min]])-1))/60)*100 + MOD(VALUE(LEFT(Table2[[#This Row],[runtime_min]],FIND(" ",Table2[[#This Row],[runtime_min]])-1)),60)</f>
        <v>126</v>
      </c>
      <c r="J24" s="4"/>
      <c r="K24" s="7"/>
      <c r="L24" s="11"/>
      <c r="M24" s="9" t="s">
        <v>31</v>
      </c>
      <c r="N24" s="10" t="s">
        <v>23</v>
      </c>
    </row>
    <row r="25" spans="1:14" x14ac:dyDescent="0.15">
      <c r="A25" s="4" t="s">
        <v>150</v>
      </c>
      <c r="B25" s="4" t="s">
        <v>151</v>
      </c>
      <c r="C25" s="5" t="s">
        <v>152</v>
      </c>
      <c r="D25" s="4" t="s">
        <v>17</v>
      </c>
      <c r="E25" s="4" t="s">
        <v>153</v>
      </c>
      <c r="F25" s="4" t="s">
        <v>154</v>
      </c>
      <c r="G25" s="4" t="s">
        <v>155</v>
      </c>
      <c r="H25" s="5" t="s">
        <v>72</v>
      </c>
      <c r="I25" s="6">
        <f>INT(VALUE(LEFT(Table2[[#This Row],[runtime_min]],FIND(" ",Table2[[#This Row],[runtime_min]])-1))/60)*100 + MOD(VALUE(LEFT(Table2[[#This Row],[runtime_min]],FIND(" ",Table2[[#This Row],[runtime_min]])-1)),60)</f>
        <v>129</v>
      </c>
      <c r="J25" s="4"/>
      <c r="K25" s="7"/>
      <c r="L25" s="11"/>
      <c r="M25" s="9" t="s">
        <v>31</v>
      </c>
      <c r="N25" s="10" t="s">
        <v>23</v>
      </c>
    </row>
    <row r="26" spans="1:14" ht="14" x14ac:dyDescent="0.15">
      <c r="A26" s="4" t="s">
        <v>156</v>
      </c>
      <c r="B26" s="4" t="s">
        <v>157</v>
      </c>
      <c r="C26" s="5" t="s">
        <v>158</v>
      </c>
      <c r="D26" s="4" t="s">
        <v>17</v>
      </c>
      <c r="E26" s="4" t="s">
        <v>159</v>
      </c>
      <c r="F26" s="4" t="s">
        <v>154</v>
      </c>
      <c r="G26" s="4" t="s">
        <v>160</v>
      </c>
      <c r="H26" s="5" t="s">
        <v>79</v>
      </c>
      <c r="I26" s="6">
        <f>INT(VALUE(LEFT(Table2[[#This Row],[runtime_min]],FIND(" ",Table2[[#This Row],[runtime_min]])-1))/60)*100 + MOD(VALUE(LEFT(Table2[[#This Row],[runtime_min]],FIND(" ",Table2[[#This Row],[runtime_min]])-1)),60)</f>
        <v>133</v>
      </c>
      <c r="J26" s="4"/>
      <c r="K26" s="7"/>
      <c r="L26" s="11" t="s">
        <v>161</v>
      </c>
      <c r="M26" s="9" t="s">
        <v>23</v>
      </c>
      <c r="N26" s="10" t="s">
        <v>23</v>
      </c>
    </row>
    <row r="27" spans="1:14" x14ac:dyDescent="0.15">
      <c r="A27" s="4" t="s">
        <v>162</v>
      </c>
      <c r="B27" s="4" t="s">
        <v>163</v>
      </c>
      <c r="C27" s="5" t="s">
        <v>164</v>
      </c>
      <c r="D27" s="4" t="s">
        <v>17</v>
      </c>
      <c r="E27" s="4" t="s">
        <v>35</v>
      </c>
      <c r="F27" s="4" t="s">
        <v>165</v>
      </c>
      <c r="G27" s="4" t="s">
        <v>166</v>
      </c>
      <c r="H27" s="5" t="s">
        <v>72</v>
      </c>
      <c r="I27" s="6">
        <f>INT(VALUE(LEFT(Table2[[#This Row],[runtime_min]],FIND(" ",Table2[[#This Row],[runtime_min]])-1))/60)*100 + MOD(VALUE(LEFT(Table2[[#This Row],[runtime_min]],FIND(" ",Table2[[#This Row],[runtime_min]])-1)),60)</f>
        <v>129</v>
      </c>
      <c r="J27" s="4"/>
      <c r="K27" s="7"/>
      <c r="L27" s="11"/>
      <c r="M27" s="9" t="s">
        <v>31</v>
      </c>
      <c r="N27" s="10" t="s">
        <v>23</v>
      </c>
    </row>
    <row r="28" spans="1:14" ht="14" x14ac:dyDescent="0.15">
      <c r="A28" s="4" t="s">
        <v>167</v>
      </c>
      <c r="B28" s="4" t="s">
        <v>168</v>
      </c>
      <c r="C28" s="5" t="s">
        <v>169</v>
      </c>
      <c r="D28" s="4" t="s">
        <v>27</v>
      </c>
      <c r="E28" s="4" t="s">
        <v>170</v>
      </c>
      <c r="F28" s="4" t="s">
        <v>36</v>
      </c>
      <c r="G28" s="4" t="s">
        <v>171</v>
      </c>
      <c r="H28" s="5" t="s">
        <v>172</v>
      </c>
      <c r="I28" s="6">
        <f>INT(VALUE(LEFT(Table2[[#This Row],[runtime_min]],FIND(" ",Table2[[#This Row],[runtime_min]])-1))/60)*100 + MOD(VALUE(LEFT(Table2[[#This Row],[runtime_min]],FIND(" ",Table2[[#This Row],[runtime_min]])-1)),60)</f>
        <v>153</v>
      </c>
      <c r="J28" s="4"/>
      <c r="K28" s="7"/>
      <c r="L28" s="11" t="s">
        <v>173</v>
      </c>
      <c r="M28" s="9" t="s">
        <v>23</v>
      </c>
      <c r="N28" s="10" t="s">
        <v>23</v>
      </c>
    </row>
    <row r="29" spans="1:14" ht="14" x14ac:dyDescent="0.15">
      <c r="A29" s="4" t="s">
        <v>174</v>
      </c>
      <c r="B29" s="4" t="s">
        <v>175</v>
      </c>
      <c r="C29" s="5" t="s">
        <v>176</v>
      </c>
      <c r="D29" s="4" t="s">
        <v>95</v>
      </c>
      <c r="E29" s="4" t="s">
        <v>177</v>
      </c>
      <c r="F29" s="4" t="s">
        <v>77</v>
      </c>
      <c r="G29" s="4" t="s">
        <v>178</v>
      </c>
      <c r="H29" s="5" t="s">
        <v>179</v>
      </c>
      <c r="I29" s="6">
        <f>INT(VALUE(LEFT(Table2[[#This Row],[runtime_min]],FIND(" ",Table2[[#This Row],[runtime_min]])-1))/60)*100 + MOD(VALUE(LEFT(Table2[[#This Row],[runtime_min]],FIND(" ",Table2[[#This Row],[runtime_min]])-1)),60)</f>
        <v>58</v>
      </c>
      <c r="J29" s="4" t="s">
        <v>99</v>
      </c>
      <c r="K29" s="7" t="s">
        <v>180</v>
      </c>
      <c r="L29" s="11"/>
      <c r="M29" s="9" t="s">
        <v>31</v>
      </c>
      <c r="N29" s="10" t="s">
        <v>23</v>
      </c>
    </row>
    <row r="30" spans="1:14" ht="14" x14ac:dyDescent="0.15">
      <c r="A30" s="4" t="s">
        <v>174</v>
      </c>
      <c r="B30" s="4" t="s">
        <v>181</v>
      </c>
      <c r="C30" s="5" t="s">
        <v>182</v>
      </c>
      <c r="D30" s="4" t="s">
        <v>95</v>
      </c>
      <c r="E30" s="4" t="s">
        <v>177</v>
      </c>
      <c r="F30" s="4" t="s">
        <v>77</v>
      </c>
      <c r="G30" s="4" t="s">
        <v>183</v>
      </c>
      <c r="H30" s="5" t="s">
        <v>179</v>
      </c>
      <c r="I30" s="6">
        <f>INT(VALUE(LEFT(Table2[[#This Row],[runtime_min]],FIND(" ",Table2[[#This Row],[runtime_min]])-1))/60)*100 + MOD(VALUE(LEFT(Table2[[#This Row],[runtime_min]],FIND(" ",Table2[[#This Row],[runtime_min]])-1)),60)</f>
        <v>58</v>
      </c>
      <c r="J30" s="4" t="s">
        <v>104</v>
      </c>
      <c r="K30" s="7" t="s">
        <v>184</v>
      </c>
      <c r="L30" s="11"/>
      <c r="M30" s="9" t="s">
        <v>31</v>
      </c>
      <c r="N30" s="10" t="s">
        <v>23</v>
      </c>
    </row>
    <row r="31" spans="1:14" ht="14" x14ac:dyDescent="0.15">
      <c r="A31" s="4" t="s">
        <v>174</v>
      </c>
      <c r="B31" s="4" t="s">
        <v>185</v>
      </c>
      <c r="C31" s="5" t="s">
        <v>186</v>
      </c>
      <c r="D31" s="4" t="s">
        <v>95</v>
      </c>
      <c r="E31" s="4" t="s">
        <v>177</v>
      </c>
      <c r="F31" s="4" t="s">
        <v>77</v>
      </c>
      <c r="G31" s="4" t="s">
        <v>178</v>
      </c>
      <c r="H31" s="5" t="s">
        <v>187</v>
      </c>
      <c r="I31" s="6">
        <f>INT(VALUE(LEFT(Table2[[#This Row],[runtime_min]],FIND(" ",Table2[[#This Row],[runtime_min]])-1))/60)*100 + MOD(VALUE(LEFT(Table2[[#This Row],[runtime_min]],FIND(" ",Table2[[#This Row],[runtime_min]])-1)),60)</f>
        <v>59</v>
      </c>
      <c r="J31" s="4" t="s">
        <v>123</v>
      </c>
      <c r="K31" s="7" t="s">
        <v>188</v>
      </c>
      <c r="L31" s="11"/>
      <c r="M31" s="9" t="s">
        <v>31</v>
      </c>
      <c r="N31" s="10" t="s">
        <v>23</v>
      </c>
    </row>
    <row r="32" spans="1:14" ht="14" x14ac:dyDescent="0.15">
      <c r="A32" s="4" t="s">
        <v>174</v>
      </c>
      <c r="B32" s="4" t="s">
        <v>189</v>
      </c>
      <c r="C32" s="5" t="s">
        <v>190</v>
      </c>
      <c r="D32" s="4" t="s">
        <v>95</v>
      </c>
      <c r="E32" s="4" t="s">
        <v>177</v>
      </c>
      <c r="F32" s="4" t="s">
        <v>77</v>
      </c>
      <c r="G32" s="4" t="s">
        <v>178</v>
      </c>
      <c r="H32" s="5" t="s">
        <v>179</v>
      </c>
      <c r="I32" s="6">
        <f>INT(VALUE(LEFT(Table2[[#This Row],[runtime_min]],FIND(" ",Table2[[#This Row],[runtime_min]])-1))/60)*100 + MOD(VALUE(LEFT(Table2[[#This Row],[runtime_min]],FIND(" ",Table2[[#This Row],[runtime_min]])-1)),60)</f>
        <v>58</v>
      </c>
      <c r="J32" s="4" t="s">
        <v>109</v>
      </c>
      <c r="K32" s="7" t="s">
        <v>191</v>
      </c>
      <c r="L32" s="11"/>
      <c r="M32" s="9" t="s">
        <v>31</v>
      </c>
      <c r="N32" s="10" t="s">
        <v>23</v>
      </c>
    </row>
    <row r="33" spans="1:14" ht="14" x14ac:dyDescent="0.15">
      <c r="A33" s="4" t="s">
        <v>174</v>
      </c>
      <c r="B33" s="4" t="s">
        <v>192</v>
      </c>
      <c r="C33" s="5" t="s">
        <v>193</v>
      </c>
      <c r="D33" s="4" t="s">
        <v>95</v>
      </c>
      <c r="E33" s="4" t="s">
        <v>177</v>
      </c>
      <c r="F33" s="4" t="s">
        <v>77</v>
      </c>
      <c r="G33" s="4" t="s">
        <v>178</v>
      </c>
      <c r="H33" s="5" t="s">
        <v>179</v>
      </c>
      <c r="I33" s="6">
        <f>INT(VALUE(LEFT(Table2[[#This Row],[runtime_min]],FIND(" ",Table2[[#This Row],[runtime_min]])-1))/60)*100 + MOD(VALUE(LEFT(Table2[[#This Row],[runtime_min]],FIND(" ",Table2[[#This Row],[runtime_min]])-1)),60)</f>
        <v>58</v>
      </c>
      <c r="J33" s="4" t="s">
        <v>127</v>
      </c>
      <c r="K33" s="7" t="s">
        <v>194</v>
      </c>
      <c r="L33" s="11"/>
      <c r="M33" s="9" t="s">
        <v>31</v>
      </c>
      <c r="N33" s="10" t="s">
        <v>23</v>
      </c>
    </row>
    <row r="34" spans="1:14" ht="14" x14ac:dyDescent="0.15">
      <c r="A34" s="4" t="s">
        <v>174</v>
      </c>
      <c r="B34" s="4" t="s">
        <v>195</v>
      </c>
      <c r="C34" s="5" t="s">
        <v>196</v>
      </c>
      <c r="D34" s="4" t="s">
        <v>95</v>
      </c>
      <c r="E34" s="4" t="s">
        <v>177</v>
      </c>
      <c r="F34" s="4" t="s">
        <v>77</v>
      </c>
      <c r="G34" s="4" t="s">
        <v>178</v>
      </c>
      <c r="H34" s="5" t="s">
        <v>179</v>
      </c>
      <c r="I34" s="6">
        <f>INT(VALUE(LEFT(Table2[[#This Row],[runtime_min]],FIND(" ",Table2[[#This Row],[runtime_min]])-1))/60)*100 + MOD(VALUE(LEFT(Table2[[#This Row],[runtime_min]],FIND(" ",Table2[[#This Row],[runtime_min]])-1)),60)</f>
        <v>58</v>
      </c>
      <c r="J34" s="4" t="s">
        <v>114</v>
      </c>
      <c r="K34" s="7" t="s">
        <v>197</v>
      </c>
      <c r="L34" s="11"/>
      <c r="M34" s="9" t="s">
        <v>31</v>
      </c>
      <c r="N34" s="10" t="s">
        <v>23</v>
      </c>
    </row>
    <row r="35" spans="1:14" ht="14" x14ac:dyDescent="0.15">
      <c r="A35" s="4" t="s">
        <v>174</v>
      </c>
      <c r="B35" s="4" t="s">
        <v>198</v>
      </c>
      <c r="C35" s="5" t="s">
        <v>199</v>
      </c>
      <c r="D35" s="4" t="s">
        <v>95</v>
      </c>
      <c r="E35" s="4" t="s">
        <v>177</v>
      </c>
      <c r="F35" s="4" t="s">
        <v>77</v>
      </c>
      <c r="G35" s="4" t="s">
        <v>178</v>
      </c>
      <c r="H35" s="5" t="s">
        <v>179</v>
      </c>
      <c r="I35" s="6">
        <f>INT(VALUE(LEFT(Table2[[#This Row],[runtime_min]],FIND(" ",Table2[[#This Row],[runtime_min]])-1))/60)*100 + MOD(VALUE(LEFT(Table2[[#This Row],[runtime_min]],FIND(" ",Table2[[#This Row],[runtime_min]])-1)),60)</f>
        <v>58</v>
      </c>
      <c r="J35" s="4" t="s">
        <v>119</v>
      </c>
      <c r="K35" s="7" t="s">
        <v>200</v>
      </c>
      <c r="L35" s="11"/>
      <c r="M35" s="9" t="s">
        <v>31</v>
      </c>
      <c r="N35" s="10" t="s">
        <v>23</v>
      </c>
    </row>
    <row r="36" spans="1:14" ht="14" x14ac:dyDescent="0.15">
      <c r="A36" s="4" t="s">
        <v>201</v>
      </c>
      <c r="B36" s="4" t="s">
        <v>202</v>
      </c>
      <c r="C36" s="5" t="s">
        <v>203</v>
      </c>
      <c r="D36" s="4" t="s">
        <v>95</v>
      </c>
      <c r="E36" s="4" t="s">
        <v>204</v>
      </c>
      <c r="F36" s="4" t="s">
        <v>205</v>
      </c>
      <c r="G36" s="4" t="s">
        <v>206</v>
      </c>
      <c r="H36" s="5" t="s">
        <v>207</v>
      </c>
      <c r="I36" s="6">
        <f>INT(VALUE(LEFT(Table2[[#This Row],[runtime_min]],FIND(" ",Table2[[#This Row],[runtime_min]])-1))/60)*100 + MOD(VALUE(LEFT(Table2[[#This Row],[runtime_min]],FIND(" ",Table2[[#This Row],[runtime_min]])-1)),60)</f>
        <v>57</v>
      </c>
      <c r="J36" s="4" t="s">
        <v>99</v>
      </c>
      <c r="K36" s="7" t="s">
        <v>208</v>
      </c>
      <c r="L36" s="11"/>
      <c r="M36" s="9" t="s">
        <v>31</v>
      </c>
      <c r="N36" s="10" t="s">
        <v>23</v>
      </c>
    </row>
    <row r="37" spans="1:14" ht="14" x14ac:dyDescent="0.15">
      <c r="A37" s="4" t="s">
        <v>201</v>
      </c>
      <c r="B37" s="4" t="s">
        <v>209</v>
      </c>
      <c r="C37" s="5" t="s">
        <v>210</v>
      </c>
      <c r="D37" s="4" t="s">
        <v>95</v>
      </c>
      <c r="E37" s="4" t="s">
        <v>204</v>
      </c>
      <c r="F37" s="4" t="s">
        <v>205</v>
      </c>
      <c r="G37" s="4" t="s">
        <v>211</v>
      </c>
      <c r="H37" s="5" t="s">
        <v>207</v>
      </c>
      <c r="I37" s="6">
        <f>INT(VALUE(LEFT(Table2[[#This Row],[runtime_min]],FIND(" ",Table2[[#This Row],[runtime_min]])-1))/60)*100 + MOD(VALUE(LEFT(Table2[[#This Row],[runtime_min]],FIND(" ",Table2[[#This Row],[runtime_min]])-1)),60)</f>
        <v>57</v>
      </c>
      <c r="J37" s="4" t="s">
        <v>104</v>
      </c>
      <c r="K37" s="7" t="s">
        <v>212</v>
      </c>
      <c r="L37" s="11"/>
      <c r="M37" s="9" t="s">
        <v>31</v>
      </c>
      <c r="N37" s="10" t="s">
        <v>23</v>
      </c>
    </row>
    <row r="38" spans="1:14" ht="14" x14ac:dyDescent="0.15">
      <c r="A38" s="4" t="s">
        <v>201</v>
      </c>
      <c r="B38" s="4" t="s">
        <v>213</v>
      </c>
      <c r="C38" s="5" t="s">
        <v>214</v>
      </c>
      <c r="D38" s="4" t="s">
        <v>95</v>
      </c>
      <c r="E38" s="4" t="s">
        <v>204</v>
      </c>
      <c r="F38" s="4" t="s">
        <v>205</v>
      </c>
      <c r="G38" s="4" t="s">
        <v>206</v>
      </c>
      <c r="H38" s="5" t="s">
        <v>179</v>
      </c>
      <c r="I38" s="6">
        <f>INT(VALUE(LEFT(Table2[[#This Row],[runtime_min]],FIND(" ",Table2[[#This Row],[runtime_min]])-1))/60)*100 + MOD(VALUE(LEFT(Table2[[#This Row],[runtime_min]],FIND(" ",Table2[[#This Row],[runtime_min]])-1)),60)</f>
        <v>58</v>
      </c>
      <c r="J38" s="4" t="s">
        <v>123</v>
      </c>
      <c r="K38" s="7" t="s">
        <v>215</v>
      </c>
      <c r="L38" s="11"/>
      <c r="M38" s="9" t="s">
        <v>31</v>
      </c>
      <c r="N38" s="10" t="s">
        <v>23</v>
      </c>
    </row>
    <row r="39" spans="1:14" ht="14" x14ac:dyDescent="0.15">
      <c r="A39" s="4" t="s">
        <v>201</v>
      </c>
      <c r="B39" s="4" t="s">
        <v>216</v>
      </c>
      <c r="C39" s="5" t="s">
        <v>217</v>
      </c>
      <c r="D39" s="4" t="s">
        <v>95</v>
      </c>
      <c r="E39" s="4" t="s">
        <v>204</v>
      </c>
      <c r="F39" s="4" t="s">
        <v>205</v>
      </c>
      <c r="G39" s="4" t="s">
        <v>218</v>
      </c>
      <c r="H39" s="5" t="s">
        <v>179</v>
      </c>
      <c r="I39" s="6">
        <f>INT(VALUE(LEFT(Table2[[#This Row],[runtime_min]],FIND(" ",Table2[[#This Row],[runtime_min]])-1))/60)*100 + MOD(VALUE(LEFT(Table2[[#This Row],[runtime_min]],FIND(" ",Table2[[#This Row],[runtime_min]])-1)),60)</f>
        <v>58</v>
      </c>
      <c r="J39" s="4" t="s">
        <v>109</v>
      </c>
      <c r="K39" s="7" t="s">
        <v>219</v>
      </c>
      <c r="L39" s="11"/>
      <c r="M39" s="9" t="s">
        <v>31</v>
      </c>
      <c r="N39" s="10" t="s">
        <v>23</v>
      </c>
    </row>
    <row r="40" spans="1:14" ht="14" x14ac:dyDescent="0.15">
      <c r="A40" s="4" t="s">
        <v>201</v>
      </c>
      <c r="B40" s="4" t="s">
        <v>220</v>
      </c>
      <c r="C40" s="5" t="s">
        <v>221</v>
      </c>
      <c r="D40" s="4" t="s">
        <v>95</v>
      </c>
      <c r="E40" s="4" t="s">
        <v>204</v>
      </c>
      <c r="F40" s="4" t="s">
        <v>205</v>
      </c>
      <c r="G40" s="4" t="s">
        <v>222</v>
      </c>
      <c r="H40" s="5" t="s">
        <v>207</v>
      </c>
      <c r="I40" s="6">
        <f>INT(VALUE(LEFT(Table2[[#This Row],[runtime_min]],FIND(" ",Table2[[#This Row],[runtime_min]])-1))/60)*100 + MOD(VALUE(LEFT(Table2[[#This Row],[runtime_min]],FIND(" ",Table2[[#This Row],[runtime_min]])-1)),60)</f>
        <v>57</v>
      </c>
      <c r="J40" s="4" t="s">
        <v>127</v>
      </c>
      <c r="K40" s="7" t="s">
        <v>223</v>
      </c>
      <c r="L40" s="11"/>
      <c r="M40" s="9" t="s">
        <v>31</v>
      </c>
      <c r="N40" s="10" t="s">
        <v>23</v>
      </c>
    </row>
    <row r="41" spans="1:14" ht="14" x14ac:dyDescent="0.15">
      <c r="A41" s="4" t="s">
        <v>201</v>
      </c>
      <c r="B41" s="4" t="s">
        <v>224</v>
      </c>
      <c r="C41" s="5" t="s">
        <v>225</v>
      </c>
      <c r="D41" s="4" t="s">
        <v>95</v>
      </c>
      <c r="E41" s="4" t="s">
        <v>204</v>
      </c>
      <c r="F41" s="4" t="s">
        <v>205</v>
      </c>
      <c r="G41" s="4" t="s">
        <v>226</v>
      </c>
      <c r="H41" s="5" t="s">
        <v>179</v>
      </c>
      <c r="I41" s="6">
        <f>INT(VALUE(LEFT(Table2[[#This Row],[runtime_min]],FIND(" ",Table2[[#This Row],[runtime_min]])-1))/60)*100 + MOD(VALUE(LEFT(Table2[[#This Row],[runtime_min]],FIND(" ",Table2[[#This Row],[runtime_min]])-1)),60)</f>
        <v>58</v>
      </c>
      <c r="J41" s="4" t="s">
        <v>114</v>
      </c>
      <c r="K41" s="7" t="s">
        <v>227</v>
      </c>
      <c r="L41" s="11"/>
      <c r="M41" s="9" t="s">
        <v>31</v>
      </c>
      <c r="N41" s="10" t="s">
        <v>23</v>
      </c>
    </row>
    <row r="42" spans="1:14" x14ac:dyDescent="0.15">
      <c r="A42" s="4" t="s">
        <v>228</v>
      </c>
      <c r="B42" s="4" t="s">
        <v>229</v>
      </c>
      <c r="C42" s="5" t="s">
        <v>230</v>
      </c>
      <c r="D42" s="4" t="s">
        <v>27</v>
      </c>
      <c r="E42" s="4" t="s">
        <v>231</v>
      </c>
      <c r="F42" s="4" t="s">
        <v>36</v>
      </c>
      <c r="G42" s="4" t="s">
        <v>232</v>
      </c>
      <c r="H42" s="5" t="s">
        <v>233</v>
      </c>
      <c r="I42" s="6">
        <f>INT(VALUE(LEFT(Table2[[#This Row],[runtime_min]],FIND(" ",Table2[[#This Row],[runtime_min]])-1))/60)*100 + MOD(VALUE(LEFT(Table2[[#This Row],[runtime_min]],FIND(" ",Table2[[#This Row],[runtime_min]])-1)),60)</f>
        <v>151</v>
      </c>
      <c r="J42" s="4"/>
      <c r="K42" s="7"/>
      <c r="L42" s="11"/>
      <c r="M42" s="9" t="s">
        <v>31</v>
      </c>
      <c r="N42" s="10" t="s">
        <v>23</v>
      </c>
    </row>
    <row r="43" spans="1:14" x14ac:dyDescent="0.15">
      <c r="A43" s="4" t="s">
        <v>234</v>
      </c>
      <c r="B43" s="4" t="s">
        <v>235</v>
      </c>
      <c r="C43" s="5" t="s">
        <v>236</v>
      </c>
      <c r="D43" s="4" t="s">
        <v>17</v>
      </c>
      <c r="E43" s="4" t="s">
        <v>237</v>
      </c>
      <c r="F43" s="4" t="s">
        <v>28</v>
      </c>
      <c r="G43" s="4" t="s">
        <v>238</v>
      </c>
      <c r="H43" s="5" t="s">
        <v>38</v>
      </c>
      <c r="I43" s="6">
        <f>INT(VALUE(LEFT(Table2[[#This Row],[runtime_min]],FIND(" ",Table2[[#This Row],[runtime_min]])-1))/60)*100 + MOD(VALUE(LEFT(Table2[[#This Row],[runtime_min]],FIND(" ",Table2[[#This Row],[runtime_min]])-1)),60)</f>
        <v>137</v>
      </c>
      <c r="J43" s="4"/>
      <c r="K43" s="7"/>
      <c r="L43" s="11"/>
      <c r="M43" s="9" t="s">
        <v>31</v>
      </c>
      <c r="N43" s="10" t="s">
        <v>23</v>
      </c>
    </row>
    <row r="44" spans="1:14" x14ac:dyDescent="0.15">
      <c r="A44" s="4" t="s">
        <v>239</v>
      </c>
      <c r="B44" s="4" t="s">
        <v>240</v>
      </c>
      <c r="C44" s="5" t="s">
        <v>241</v>
      </c>
      <c r="D44" s="4" t="s">
        <v>17</v>
      </c>
      <c r="E44" s="4" t="s">
        <v>242</v>
      </c>
      <c r="F44" s="4" t="s">
        <v>36</v>
      </c>
      <c r="G44" s="4" t="s">
        <v>243</v>
      </c>
      <c r="H44" s="5" t="s">
        <v>134</v>
      </c>
      <c r="I44" s="6">
        <f>INT(VALUE(LEFT(Table2[[#This Row],[runtime_min]],FIND(" ",Table2[[#This Row],[runtime_min]])-1))/60)*100 + MOD(VALUE(LEFT(Table2[[#This Row],[runtime_min]],FIND(" ",Table2[[#This Row],[runtime_min]])-1)),60)</f>
        <v>126</v>
      </c>
      <c r="J44" s="4"/>
      <c r="K44" s="7"/>
      <c r="L44" s="11"/>
      <c r="M44" s="9" t="s">
        <v>31</v>
      </c>
      <c r="N44" s="10" t="s">
        <v>23</v>
      </c>
    </row>
    <row r="45" spans="1:14" x14ac:dyDescent="0.15">
      <c r="A45" s="4" t="s">
        <v>244</v>
      </c>
      <c r="B45" s="4" t="s">
        <v>245</v>
      </c>
      <c r="C45" s="5" t="s">
        <v>246</v>
      </c>
      <c r="D45" s="4" t="s">
        <v>27</v>
      </c>
      <c r="E45" s="4" t="s">
        <v>247</v>
      </c>
      <c r="F45" s="4" t="s">
        <v>59</v>
      </c>
      <c r="G45" s="4" t="s">
        <v>248</v>
      </c>
      <c r="H45" s="5" t="s">
        <v>72</v>
      </c>
      <c r="I45" s="6">
        <f>INT(VALUE(LEFT(Table2[[#This Row],[runtime_min]],FIND(" ",Table2[[#This Row],[runtime_min]])-1))/60)*100 + MOD(VALUE(LEFT(Table2[[#This Row],[runtime_min]],FIND(" ",Table2[[#This Row],[runtime_min]])-1)),60)</f>
        <v>129</v>
      </c>
      <c r="J45" s="4"/>
      <c r="K45" s="7"/>
      <c r="L45" s="11"/>
      <c r="M45" s="9" t="s">
        <v>31</v>
      </c>
      <c r="N45" s="10" t="s">
        <v>23</v>
      </c>
    </row>
    <row r="46" spans="1:14" x14ac:dyDescent="0.15">
      <c r="A46" s="4" t="s">
        <v>249</v>
      </c>
      <c r="B46" s="4" t="s">
        <v>250</v>
      </c>
      <c r="C46" s="5" t="s">
        <v>251</v>
      </c>
      <c r="D46" s="4" t="s">
        <v>17</v>
      </c>
      <c r="E46" s="4" t="s">
        <v>252</v>
      </c>
      <c r="F46" s="4" t="s">
        <v>253</v>
      </c>
      <c r="G46" s="4" t="s">
        <v>254</v>
      </c>
      <c r="H46" s="5" t="s">
        <v>255</v>
      </c>
      <c r="I46" s="6">
        <f>INT(VALUE(LEFT(Table2[[#This Row],[runtime_min]],FIND(" ",Table2[[#This Row],[runtime_min]])-1))/60)*100 + MOD(VALUE(LEFT(Table2[[#This Row],[runtime_min]],FIND(" ",Table2[[#This Row],[runtime_min]])-1)),60)</f>
        <v>158</v>
      </c>
      <c r="J46" s="4"/>
      <c r="K46" s="7"/>
      <c r="L46" s="11"/>
      <c r="M46" s="9" t="s">
        <v>31</v>
      </c>
      <c r="N46" s="10" t="s">
        <v>23</v>
      </c>
    </row>
    <row r="47" spans="1:14" ht="14" x14ac:dyDescent="0.15">
      <c r="A47" s="4" t="s">
        <v>256</v>
      </c>
      <c r="B47" s="4" t="s">
        <v>257</v>
      </c>
      <c r="C47" s="5" t="s">
        <v>258</v>
      </c>
      <c r="D47" s="4" t="s">
        <v>27</v>
      </c>
      <c r="E47" s="4" t="s">
        <v>35</v>
      </c>
      <c r="F47" s="4" t="s">
        <v>259</v>
      </c>
      <c r="G47" s="4" t="s">
        <v>260</v>
      </c>
      <c r="H47" s="5" t="s">
        <v>261</v>
      </c>
      <c r="I47" s="6">
        <f>INT(VALUE(LEFT(Table2[[#This Row],[runtime_min]],FIND(" ",Table2[[#This Row],[runtime_min]])-1))/60)*100 + MOD(VALUE(LEFT(Table2[[#This Row],[runtime_min]],FIND(" ",Table2[[#This Row],[runtime_min]])-1)),60)</f>
        <v>144</v>
      </c>
      <c r="J47" s="4"/>
      <c r="K47" s="7"/>
      <c r="L47" s="11" t="s">
        <v>22</v>
      </c>
      <c r="M47" s="9" t="s">
        <v>23</v>
      </c>
      <c r="N47" s="10" t="s">
        <v>23</v>
      </c>
    </row>
    <row r="48" spans="1:14" x14ac:dyDescent="0.15">
      <c r="A48" s="4" t="s">
        <v>262</v>
      </c>
      <c r="B48" s="4" t="s">
        <v>263</v>
      </c>
      <c r="C48" s="5" t="s">
        <v>264</v>
      </c>
      <c r="D48" s="4" t="s">
        <v>17</v>
      </c>
      <c r="E48" s="4" t="s">
        <v>35</v>
      </c>
      <c r="F48" s="4" t="s">
        <v>84</v>
      </c>
      <c r="G48" s="4" t="s">
        <v>265</v>
      </c>
      <c r="H48" s="5" t="s">
        <v>266</v>
      </c>
      <c r="I48" s="6">
        <f>INT(VALUE(LEFT(Table2[[#This Row],[runtime_min]],FIND(" ",Table2[[#This Row],[runtime_min]])-1))/60)*100 + MOD(VALUE(LEFT(Table2[[#This Row],[runtime_min]],FIND(" ",Table2[[#This Row],[runtime_min]])-1)),60)</f>
        <v>207</v>
      </c>
      <c r="J48" s="4"/>
      <c r="K48" s="7"/>
      <c r="L48" s="11"/>
      <c r="M48" s="9" t="s">
        <v>31</v>
      </c>
      <c r="N48" s="10" t="s">
        <v>23</v>
      </c>
    </row>
    <row r="49" spans="1:14" x14ac:dyDescent="0.15">
      <c r="A49" s="4" t="s">
        <v>267</v>
      </c>
      <c r="B49" s="4" t="s">
        <v>268</v>
      </c>
      <c r="C49" s="5"/>
      <c r="D49" s="4" t="s">
        <v>269</v>
      </c>
      <c r="E49" s="4"/>
      <c r="F49" s="4"/>
      <c r="G49" s="4"/>
      <c r="H49" s="5" t="s">
        <v>270</v>
      </c>
      <c r="I49" s="6">
        <f>INT(VALUE(LEFT(Table2[[#This Row],[runtime_min]],FIND(" ",Table2[[#This Row],[runtime_min]])-1))/60)*100 + MOD(VALUE(LEFT(Table2[[#This Row],[runtime_min]],FIND(" ",Table2[[#This Row],[runtime_min]])-1)),60)</f>
        <v>8</v>
      </c>
      <c r="J49" s="4"/>
      <c r="K49" s="7"/>
      <c r="L49" s="11"/>
      <c r="M49" s="9" t="s">
        <v>31</v>
      </c>
      <c r="N49" s="10" t="s">
        <v>23</v>
      </c>
    </row>
    <row r="50" spans="1:14" ht="14" x14ac:dyDescent="0.15">
      <c r="A50" s="4" t="s">
        <v>271</v>
      </c>
      <c r="B50" s="4" t="s">
        <v>272</v>
      </c>
      <c r="C50" s="5" t="s">
        <v>273</v>
      </c>
      <c r="D50" s="4" t="s">
        <v>17</v>
      </c>
      <c r="E50" s="4" t="s">
        <v>64</v>
      </c>
      <c r="F50" s="4" t="s">
        <v>132</v>
      </c>
      <c r="G50" s="4" t="s">
        <v>274</v>
      </c>
      <c r="H50" s="5" t="s">
        <v>275</v>
      </c>
      <c r="I50" s="6">
        <f>INT(VALUE(LEFT(Table2[[#This Row],[runtime_min]],FIND(" ",Table2[[#This Row],[runtime_min]])-1))/60)*100 + MOD(VALUE(LEFT(Table2[[#This Row],[runtime_min]],FIND(" ",Table2[[#This Row],[runtime_min]])-1)),60)</f>
        <v>100</v>
      </c>
      <c r="J50" s="4"/>
      <c r="K50" s="7"/>
      <c r="L50" s="11" t="s">
        <v>80</v>
      </c>
      <c r="M50" s="9" t="s">
        <v>23</v>
      </c>
      <c r="N50" s="10" t="s">
        <v>23</v>
      </c>
    </row>
    <row r="51" spans="1:14" x14ac:dyDescent="0.15">
      <c r="A51" s="4" t="s">
        <v>276</v>
      </c>
      <c r="B51" s="4" t="s">
        <v>277</v>
      </c>
      <c r="C51" s="5" t="s">
        <v>278</v>
      </c>
      <c r="D51" s="4" t="s">
        <v>27</v>
      </c>
      <c r="E51" s="4" t="s">
        <v>170</v>
      </c>
      <c r="F51" s="4" t="s">
        <v>253</v>
      </c>
      <c r="G51" s="4" t="s">
        <v>279</v>
      </c>
      <c r="H51" s="5" t="s">
        <v>280</v>
      </c>
      <c r="I51" s="6">
        <f>INT(VALUE(LEFT(Table2[[#This Row],[runtime_min]],FIND(" ",Table2[[#This Row],[runtime_min]])-1))/60)*100 + MOD(VALUE(LEFT(Table2[[#This Row],[runtime_min]],FIND(" ",Table2[[#This Row],[runtime_min]])-1)),60)</f>
        <v>201</v>
      </c>
      <c r="J51" s="4"/>
      <c r="K51" s="7"/>
      <c r="L51" s="11"/>
      <c r="M51" s="9" t="s">
        <v>31</v>
      </c>
      <c r="N51" s="10" t="s">
        <v>23</v>
      </c>
    </row>
    <row r="52" spans="1:14" x14ac:dyDescent="0.15">
      <c r="A52" s="4" t="s">
        <v>281</v>
      </c>
      <c r="B52" s="4" t="s">
        <v>282</v>
      </c>
      <c r="C52" s="5" t="s">
        <v>283</v>
      </c>
      <c r="D52" s="4" t="s">
        <v>27</v>
      </c>
      <c r="E52" s="4" t="s">
        <v>284</v>
      </c>
      <c r="F52" s="4" t="s">
        <v>19</v>
      </c>
      <c r="G52" s="4" t="s">
        <v>285</v>
      </c>
      <c r="H52" s="5" t="s">
        <v>286</v>
      </c>
      <c r="I52" s="6">
        <f>INT(VALUE(LEFT(Table2[[#This Row],[runtime_min]],FIND(" ",Table2[[#This Row],[runtime_min]])-1))/60)*100 + MOD(VALUE(LEFT(Table2[[#This Row],[runtime_min]],FIND(" ",Table2[[#This Row],[runtime_min]])-1)),60)</f>
        <v>141</v>
      </c>
      <c r="J52" s="4"/>
      <c r="K52" s="7"/>
      <c r="L52" s="11"/>
      <c r="M52" s="9" t="s">
        <v>31</v>
      </c>
      <c r="N52" s="10" t="s">
        <v>23</v>
      </c>
    </row>
    <row r="53" spans="1:14" ht="14" x14ac:dyDescent="0.15">
      <c r="A53" s="4" t="s">
        <v>287</v>
      </c>
      <c r="B53" s="4" t="s">
        <v>288</v>
      </c>
      <c r="C53" s="5" t="s">
        <v>289</v>
      </c>
      <c r="D53" s="4" t="s">
        <v>27</v>
      </c>
      <c r="E53" s="4" t="s">
        <v>290</v>
      </c>
      <c r="F53" s="4" t="s">
        <v>77</v>
      </c>
      <c r="G53" s="4" t="s">
        <v>291</v>
      </c>
      <c r="H53" s="5" t="s">
        <v>79</v>
      </c>
      <c r="I53" s="6">
        <f>INT(VALUE(LEFT(Table2[[#This Row],[runtime_min]],FIND(" ",Table2[[#This Row],[runtime_min]])-1))/60)*100 + MOD(VALUE(LEFT(Table2[[#This Row],[runtime_min]],FIND(" ",Table2[[#This Row],[runtime_min]])-1)),60)</f>
        <v>133</v>
      </c>
      <c r="J53" s="4"/>
      <c r="K53" s="7"/>
      <c r="L53" s="11" t="s">
        <v>80</v>
      </c>
      <c r="M53" s="9" t="s">
        <v>23</v>
      </c>
      <c r="N53" s="10" t="s">
        <v>23</v>
      </c>
    </row>
    <row r="54" spans="1:14" x14ac:dyDescent="0.15">
      <c r="A54" s="4" t="s">
        <v>292</v>
      </c>
      <c r="B54" s="4" t="s">
        <v>293</v>
      </c>
      <c r="C54" s="5" t="s">
        <v>294</v>
      </c>
      <c r="D54" s="4" t="s">
        <v>17</v>
      </c>
      <c r="E54" s="4" t="s">
        <v>252</v>
      </c>
      <c r="F54" s="4" t="s">
        <v>295</v>
      </c>
      <c r="G54" s="4" t="s">
        <v>296</v>
      </c>
      <c r="H54" s="5" t="s">
        <v>72</v>
      </c>
      <c r="I54" s="6">
        <f>INT(VALUE(LEFT(Table2[[#This Row],[runtime_min]],FIND(" ",Table2[[#This Row],[runtime_min]])-1))/60)*100 + MOD(VALUE(LEFT(Table2[[#This Row],[runtime_min]],FIND(" ",Table2[[#This Row],[runtime_min]])-1)),60)</f>
        <v>129</v>
      </c>
      <c r="J54" s="4"/>
      <c r="K54" s="7"/>
      <c r="L54" s="11"/>
      <c r="M54" s="9" t="s">
        <v>31</v>
      </c>
      <c r="N54" s="10" t="s">
        <v>23</v>
      </c>
    </row>
    <row r="55" spans="1:14" x14ac:dyDescent="0.15">
      <c r="A55" s="4" t="s">
        <v>297</v>
      </c>
      <c r="B55" s="4" t="s">
        <v>298</v>
      </c>
      <c r="C55" s="5" t="s">
        <v>299</v>
      </c>
      <c r="D55" s="4" t="s">
        <v>17</v>
      </c>
      <c r="E55" s="4" t="s">
        <v>252</v>
      </c>
      <c r="F55" s="4" t="s">
        <v>253</v>
      </c>
      <c r="G55" s="4" t="s">
        <v>300</v>
      </c>
      <c r="H55" s="5" t="s">
        <v>79</v>
      </c>
      <c r="I55" s="6">
        <f>INT(VALUE(LEFT(Table2[[#This Row],[runtime_min]],FIND(" ",Table2[[#This Row],[runtime_min]])-1))/60)*100 + MOD(VALUE(LEFT(Table2[[#This Row],[runtime_min]],FIND(" ",Table2[[#This Row],[runtime_min]])-1)),60)</f>
        <v>133</v>
      </c>
      <c r="J55" s="4"/>
      <c r="K55" s="7"/>
      <c r="L55" s="11"/>
      <c r="M55" s="9" t="s">
        <v>31</v>
      </c>
      <c r="N55" s="10" t="s">
        <v>23</v>
      </c>
    </row>
    <row r="56" spans="1:14" x14ac:dyDescent="0.15">
      <c r="A56" s="4" t="s">
        <v>301</v>
      </c>
      <c r="B56" s="4" t="s">
        <v>302</v>
      </c>
      <c r="C56" s="5" t="s">
        <v>303</v>
      </c>
      <c r="D56" s="4" t="s">
        <v>17</v>
      </c>
      <c r="E56" s="4" t="s">
        <v>252</v>
      </c>
      <c r="F56" s="4" t="s">
        <v>165</v>
      </c>
      <c r="G56" s="4"/>
      <c r="H56" s="5" t="s">
        <v>145</v>
      </c>
      <c r="I56" s="6">
        <f>INT(VALUE(LEFT(Table2[[#This Row],[runtime_min]],FIND(" ",Table2[[#This Row],[runtime_min]])-1))/60)*100 + MOD(VALUE(LEFT(Table2[[#This Row],[runtime_min]],FIND(" ",Table2[[#This Row],[runtime_min]])-1)),60)</f>
        <v>149</v>
      </c>
      <c r="J56" s="4"/>
      <c r="K56" s="7"/>
      <c r="L56" s="11"/>
      <c r="M56" s="9" t="s">
        <v>31</v>
      </c>
      <c r="N56" s="10" t="s">
        <v>23</v>
      </c>
    </row>
    <row r="57" spans="1:14" ht="14" x14ac:dyDescent="0.15">
      <c r="A57" s="4" t="s">
        <v>304</v>
      </c>
      <c r="B57" s="4" t="s">
        <v>305</v>
      </c>
      <c r="C57" s="5" t="s">
        <v>306</v>
      </c>
      <c r="D57" s="4" t="s">
        <v>95</v>
      </c>
      <c r="E57" s="4" t="s">
        <v>307</v>
      </c>
      <c r="F57" s="4" t="s">
        <v>253</v>
      </c>
      <c r="G57" s="4" t="s">
        <v>178</v>
      </c>
      <c r="H57" s="5" t="s">
        <v>308</v>
      </c>
      <c r="I57" s="6">
        <f>INT(VALUE(LEFT(Table2[[#This Row],[runtime_min]],FIND(" ",Table2[[#This Row],[runtime_min]])-1))/60)*100 + MOD(VALUE(LEFT(Table2[[#This Row],[runtime_min]],FIND(" ",Table2[[#This Row],[runtime_min]])-1)),60)</f>
        <v>101</v>
      </c>
      <c r="J57" s="4" t="s">
        <v>309</v>
      </c>
      <c r="K57" s="7" t="s">
        <v>310</v>
      </c>
      <c r="L57" s="11"/>
      <c r="M57" s="9" t="s">
        <v>31</v>
      </c>
      <c r="N57" s="10" t="s">
        <v>23</v>
      </c>
    </row>
    <row r="58" spans="1:14" ht="14" x14ac:dyDescent="0.15">
      <c r="A58" s="4" t="s">
        <v>304</v>
      </c>
      <c r="B58" s="4" t="s">
        <v>311</v>
      </c>
      <c r="C58" s="5" t="s">
        <v>312</v>
      </c>
      <c r="D58" s="4" t="s">
        <v>95</v>
      </c>
      <c r="E58" s="4" t="s">
        <v>307</v>
      </c>
      <c r="F58" s="4" t="s">
        <v>132</v>
      </c>
      <c r="G58" s="4" t="s">
        <v>313</v>
      </c>
      <c r="H58" s="5" t="s">
        <v>187</v>
      </c>
      <c r="I58" s="6">
        <f>INT(VALUE(LEFT(Table2[[#This Row],[runtime_min]],FIND(" ",Table2[[#This Row],[runtime_min]])-1))/60)*100 + MOD(VALUE(LEFT(Table2[[#This Row],[runtime_min]],FIND(" ",Table2[[#This Row],[runtime_min]])-1)),60)</f>
        <v>59</v>
      </c>
      <c r="J58" s="4" t="s">
        <v>99</v>
      </c>
      <c r="K58" s="7" t="s">
        <v>314</v>
      </c>
      <c r="L58" s="11"/>
      <c r="M58" s="9" t="s">
        <v>31</v>
      </c>
      <c r="N58" s="10" t="s">
        <v>23</v>
      </c>
    </row>
    <row r="59" spans="1:14" ht="14" x14ac:dyDescent="0.15">
      <c r="A59" s="4" t="s">
        <v>304</v>
      </c>
      <c r="B59" s="4" t="s">
        <v>315</v>
      </c>
      <c r="C59" s="5" t="s">
        <v>316</v>
      </c>
      <c r="D59" s="4" t="s">
        <v>95</v>
      </c>
      <c r="E59" s="4" t="s">
        <v>307</v>
      </c>
      <c r="F59" s="4" t="s">
        <v>253</v>
      </c>
      <c r="G59" s="4" t="s">
        <v>313</v>
      </c>
      <c r="H59" s="5" t="s">
        <v>187</v>
      </c>
      <c r="I59" s="6">
        <f>INT(VALUE(LEFT(Table2[[#This Row],[runtime_min]],FIND(" ",Table2[[#This Row],[runtime_min]])-1))/60)*100 + MOD(VALUE(LEFT(Table2[[#This Row],[runtime_min]],FIND(" ",Table2[[#This Row],[runtime_min]])-1)),60)</f>
        <v>59</v>
      </c>
      <c r="J59" s="4" t="s">
        <v>104</v>
      </c>
      <c r="K59" s="7" t="s">
        <v>317</v>
      </c>
      <c r="L59" s="11"/>
      <c r="M59" s="9" t="s">
        <v>31</v>
      </c>
      <c r="N59" s="10" t="s">
        <v>23</v>
      </c>
    </row>
    <row r="60" spans="1:14" ht="14" x14ac:dyDescent="0.15">
      <c r="A60" s="4" t="s">
        <v>304</v>
      </c>
      <c r="B60" s="4" t="s">
        <v>318</v>
      </c>
      <c r="C60" s="5" t="s">
        <v>319</v>
      </c>
      <c r="D60" s="4" t="s">
        <v>95</v>
      </c>
      <c r="E60" s="4" t="s">
        <v>307</v>
      </c>
      <c r="F60" s="4" t="s">
        <v>253</v>
      </c>
      <c r="G60" s="4" t="s">
        <v>313</v>
      </c>
      <c r="H60" s="5" t="s">
        <v>320</v>
      </c>
      <c r="I60" s="6">
        <f>INT(VALUE(LEFT(Table2[[#This Row],[runtime_min]],FIND(" ",Table2[[#This Row],[runtime_min]])-1))/60)*100 + MOD(VALUE(LEFT(Table2[[#This Row],[runtime_min]],FIND(" ",Table2[[#This Row],[runtime_min]])-1)),60)</f>
        <v>102</v>
      </c>
      <c r="J60" s="4" t="s">
        <v>123</v>
      </c>
      <c r="K60" s="7" t="s">
        <v>321</v>
      </c>
      <c r="L60" s="11"/>
      <c r="M60" s="9" t="s">
        <v>31</v>
      </c>
      <c r="N60" s="10" t="s">
        <v>23</v>
      </c>
    </row>
    <row r="61" spans="1:14" ht="14" x14ac:dyDescent="0.15">
      <c r="A61" s="4" t="s">
        <v>304</v>
      </c>
      <c r="B61" s="4" t="s">
        <v>322</v>
      </c>
      <c r="C61" s="5" t="s">
        <v>323</v>
      </c>
      <c r="D61" s="4" t="s">
        <v>95</v>
      </c>
      <c r="E61" s="4" t="s">
        <v>307</v>
      </c>
      <c r="F61" s="4" t="s">
        <v>253</v>
      </c>
      <c r="G61" s="4" t="s">
        <v>313</v>
      </c>
      <c r="H61" s="5" t="s">
        <v>308</v>
      </c>
      <c r="I61" s="6">
        <f>INT(VALUE(LEFT(Table2[[#This Row],[runtime_min]],FIND(" ",Table2[[#This Row],[runtime_min]])-1))/60)*100 + MOD(VALUE(LEFT(Table2[[#This Row],[runtime_min]],FIND(" ",Table2[[#This Row],[runtime_min]])-1)),60)</f>
        <v>101</v>
      </c>
      <c r="J61" s="4" t="s">
        <v>109</v>
      </c>
      <c r="K61" s="7" t="s">
        <v>324</v>
      </c>
      <c r="L61" s="11"/>
      <c r="M61" s="9" t="s">
        <v>31</v>
      </c>
      <c r="N61" s="10" t="s">
        <v>23</v>
      </c>
    </row>
    <row r="62" spans="1:14" ht="14" x14ac:dyDescent="0.15">
      <c r="A62" s="4" t="s">
        <v>304</v>
      </c>
      <c r="B62" s="4" t="s">
        <v>325</v>
      </c>
      <c r="C62" s="5" t="s">
        <v>326</v>
      </c>
      <c r="D62" s="4" t="s">
        <v>95</v>
      </c>
      <c r="E62" s="4" t="s">
        <v>307</v>
      </c>
      <c r="F62" s="4" t="s">
        <v>253</v>
      </c>
      <c r="G62" s="4" t="s">
        <v>313</v>
      </c>
      <c r="H62" s="5" t="s">
        <v>320</v>
      </c>
      <c r="I62" s="6">
        <f>INT(VALUE(LEFT(Table2[[#This Row],[runtime_min]],FIND(" ",Table2[[#This Row],[runtime_min]])-1))/60)*100 + MOD(VALUE(LEFT(Table2[[#This Row],[runtime_min]],FIND(" ",Table2[[#This Row],[runtime_min]])-1)),60)</f>
        <v>102</v>
      </c>
      <c r="J62" s="4" t="s">
        <v>127</v>
      </c>
      <c r="K62" s="7" t="s">
        <v>327</v>
      </c>
      <c r="L62" s="11"/>
      <c r="M62" s="9" t="s">
        <v>31</v>
      </c>
      <c r="N62" s="10" t="s">
        <v>23</v>
      </c>
    </row>
    <row r="63" spans="1:14" ht="14" x14ac:dyDescent="0.15">
      <c r="A63" s="4" t="s">
        <v>304</v>
      </c>
      <c r="B63" s="4" t="s">
        <v>328</v>
      </c>
      <c r="C63" s="5" t="s">
        <v>329</v>
      </c>
      <c r="D63" s="4" t="s">
        <v>95</v>
      </c>
      <c r="E63" s="4" t="s">
        <v>307</v>
      </c>
      <c r="F63" s="4" t="s">
        <v>253</v>
      </c>
      <c r="G63" s="4" t="s">
        <v>178</v>
      </c>
      <c r="H63" s="5" t="s">
        <v>320</v>
      </c>
      <c r="I63" s="6">
        <f>INT(VALUE(LEFT(Table2[[#This Row],[runtime_min]],FIND(" ",Table2[[#This Row],[runtime_min]])-1))/60)*100 + MOD(VALUE(LEFT(Table2[[#This Row],[runtime_min]],FIND(" ",Table2[[#This Row],[runtime_min]])-1)),60)</f>
        <v>102</v>
      </c>
      <c r="J63" s="4" t="s">
        <v>114</v>
      </c>
      <c r="K63" s="7" t="s">
        <v>330</v>
      </c>
      <c r="L63" s="11"/>
      <c r="M63" s="9" t="s">
        <v>31</v>
      </c>
      <c r="N63" s="10" t="s">
        <v>23</v>
      </c>
    </row>
    <row r="64" spans="1:14" ht="14" x14ac:dyDescent="0.15">
      <c r="A64" s="4" t="s">
        <v>304</v>
      </c>
      <c r="B64" s="4" t="s">
        <v>331</v>
      </c>
      <c r="C64" s="5" t="s">
        <v>332</v>
      </c>
      <c r="D64" s="4" t="s">
        <v>95</v>
      </c>
      <c r="E64" s="4" t="s">
        <v>307</v>
      </c>
      <c r="F64" s="4" t="s">
        <v>253</v>
      </c>
      <c r="G64" s="4" t="s">
        <v>313</v>
      </c>
      <c r="H64" s="5" t="s">
        <v>308</v>
      </c>
      <c r="I64" s="6">
        <f>INT(VALUE(LEFT(Table2[[#This Row],[runtime_min]],FIND(" ",Table2[[#This Row],[runtime_min]])-1))/60)*100 + MOD(VALUE(LEFT(Table2[[#This Row],[runtime_min]],FIND(" ",Table2[[#This Row],[runtime_min]])-1)),60)</f>
        <v>101</v>
      </c>
      <c r="J64" s="4" t="s">
        <v>119</v>
      </c>
      <c r="K64" s="7" t="s">
        <v>333</v>
      </c>
      <c r="L64" s="11"/>
      <c r="M64" s="9" t="s">
        <v>31</v>
      </c>
      <c r="N64" s="10" t="s">
        <v>23</v>
      </c>
    </row>
    <row r="65" spans="1:14" ht="14" x14ac:dyDescent="0.15">
      <c r="A65" s="4" t="s">
        <v>304</v>
      </c>
      <c r="B65" s="4" t="s">
        <v>334</v>
      </c>
      <c r="C65" s="5" t="s">
        <v>335</v>
      </c>
      <c r="D65" s="4" t="s">
        <v>95</v>
      </c>
      <c r="E65" s="4" t="s">
        <v>307</v>
      </c>
      <c r="F65" s="4" t="s">
        <v>253</v>
      </c>
      <c r="G65" s="4" t="s">
        <v>313</v>
      </c>
      <c r="H65" s="5" t="s">
        <v>320</v>
      </c>
      <c r="I65" s="6">
        <f>INT(VALUE(LEFT(Table2[[#This Row],[runtime_min]],FIND(" ",Table2[[#This Row],[runtime_min]])-1))/60)*100 + MOD(VALUE(LEFT(Table2[[#This Row],[runtime_min]],FIND(" ",Table2[[#This Row],[runtime_min]])-1)),60)</f>
        <v>102</v>
      </c>
      <c r="J65" s="4" t="s">
        <v>336</v>
      </c>
      <c r="K65" s="7" t="s">
        <v>337</v>
      </c>
      <c r="L65" s="11"/>
      <c r="M65" s="9" t="s">
        <v>31</v>
      </c>
      <c r="N65" s="10" t="s">
        <v>23</v>
      </c>
    </row>
    <row r="66" spans="1:14" ht="14" x14ac:dyDescent="0.15">
      <c r="A66" s="4" t="s">
        <v>304</v>
      </c>
      <c r="B66" s="4" t="s">
        <v>338</v>
      </c>
      <c r="C66" s="5" t="s">
        <v>339</v>
      </c>
      <c r="D66" s="4" t="s">
        <v>95</v>
      </c>
      <c r="E66" s="4" t="s">
        <v>307</v>
      </c>
      <c r="F66" s="4" t="s">
        <v>253</v>
      </c>
      <c r="G66" s="4" t="s">
        <v>313</v>
      </c>
      <c r="H66" s="5" t="s">
        <v>320</v>
      </c>
      <c r="I66" s="6">
        <f>INT(VALUE(LEFT(Table2[[#This Row],[runtime_min]],FIND(" ",Table2[[#This Row],[runtime_min]])-1))/60)*100 + MOD(VALUE(LEFT(Table2[[#This Row],[runtime_min]],FIND(" ",Table2[[#This Row],[runtime_min]])-1)),60)</f>
        <v>102</v>
      </c>
      <c r="J66" s="4" t="s">
        <v>340</v>
      </c>
      <c r="K66" s="7" t="s">
        <v>341</v>
      </c>
      <c r="L66" s="11"/>
      <c r="M66" s="9" t="s">
        <v>31</v>
      </c>
      <c r="N66" s="10" t="s">
        <v>23</v>
      </c>
    </row>
    <row r="67" spans="1:14" ht="14" x14ac:dyDescent="0.15">
      <c r="A67" s="4" t="s">
        <v>342</v>
      </c>
      <c r="B67" s="4" t="s">
        <v>343</v>
      </c>
      <c r="C67" s="5" t="s">
        <v>344</v>
      </c>
      <c r="D67" s="4" t="s">
        <v>95</v>
      </c>
      <c r="E67" s="4" t="s">
        <v>204</v>
      </c>
      <c r="F67" s="4" t="s">
        <v>345</v>
      </c>
      <c r="G67" s="4"/>
      <c r="H67" s="5" t="s">
        <v>346</v>
      </c>
      <c r="I67" s="6">
        <f>INT(VALUE(LEFT(Table2[[#This Row],[runtime_min]],FIND(" ",Table2[[#This Row],[runtime_min]])-1))/60)*100 + MOD(VALUE(LEFT(Table2[[#This Row],[runtime_min]],FIND(" ",Table2[[#This Row],[runtime_min]])-1)),60)</f>
        <v>55</v>
      </c>
      <c r="J67" s="4" t="s">
        <v>99</v>
      </c>
      <c r="K67" s="7" t="s">
        <v>347</v>
      </c>
      <c r="L67" s="11"/>
      <c r="M67" s="9" t="s">
        <v>23</v>
      </c>
      <c r="N67" s="10" t="s">
        <v>23</v>
      </c>
    </row>
    <row r="68" spans="1:14" ht="28" x14ac:dyDescent="0.15">
      <c r="A68" s="4" t="s">
        <v>342</v>
      </c>
      <c r="B68" s="4" t="s">
        <v>348</v>
      </c>
      <c r="C68" s="5" t="s">
        <v>349</v>
      </c>
      <c r="D68" s="4" t="s">
        <v>95</v>
      </c>
      <c r="E68" s="4" t="s">
        <v>204</v>
      </c>
      <c r="F68" s="4" t="s">
        <v>345</v>
      </c>
      <c r="G68" s="4"/>
      <c r="H68" s="5" t="s">
        <v>346</v>
      </c>
      <c r="I68" s="6">
        <f>INT(VALUE(LEFT(Table2[[#This Row],[runtime_min]],FIND(" ",Table2[[#This Row],[runtime_min]])-1))/60)*100 + MOD(VALUE(LEFT(Table2[[#This Row],[runtime_min]],FIND(" ",Table2[[#This Row],[runtime_min]])-1)),60)</f>
        <v>55</v>
      </c>
      <c r="J68" s="4" t="s">
        <v>350</v>
      </c>
      <c r="K68" s="7" t="s">
        <v>351</v>
      </c>
      <c r="L68" s="11"/>
      <c r="M68" s="9" t="s">
        <v>23</v>
      </c>
      <c r="N68" s="10" t="s">
        <v>23</v>
      </c>
    </row>
    <row r="69" spans="1:14" ht="14" x14ac:dyDescent="0.15">
      <c r="A69" s="4" t="s">
        <v>342</v>
      </c>
      <c r="B69" s="4" t="s">
        <v>352</v>
      </c>
      <c r="C69" s="5" t="s">
        <v>353</v>
      </c>
      <c r="D69" s="4" t="s">
        <v>95</v>
      </c>
      <c r="E69" s="4" t="s">
        <v>204</v>
      </c>
      <c r="F69" s="4" t="s">
        <v>345</v>
      </c>
      <c r="G69" s="4"/>
      <c r="H69" s="5" t="s">
        <v>346</v>
      </c>
      <c r="I69" s="6">
        <f>INT(VALUE(LEFT(Table2[[#This Row],[runtime_min]],FIND(" ",Table2[[#This Row],[runtime_min]])-1))/60)*100 + MOD(VALUE(LEFT(Table2[[#This Row],[runtime_min]],FIND(" ",Table2[[#This Row],[runtime_min]])-1)),60)</f>
        <v>55</v>
      </c>
      <c r="J69" s="4" t="s">
        <v>104</v>
      </c>
      <c r="K69" s="7" t="s">
        <v>354</v>
      </c>
      <c r="L69" s="11"/>
      <c r="M69" s="9" t="s">
        <v>31</v>
      </c>
      <c r="N69" s="10" t="s">
        <v>23</v>
      </c>
    </row>
    <row r="70" spans="1:14" ht="14" x14ac:dyDescent="0.15">
      <c r="A70" s="4" t="s">
        <v>342</v>
      </c>
      <c r="B70" s="4" t="s">
        <v>355</v>
      </c>
      <c r="C70" s="5" t="s">
        <v>356</v>
      </c>
      <c r="D70" s="4" t="s">
        <v>95</v>
      </c>
      <c r="E70" s="4" t="s">
        <v>204</v>
      </c>
      <c r="F70" s="4" t="s">
        <v>345</v>
      </c>
      <c r="G70" s="4"/>
      <c r="H70" s="5" t="s">
        <v>346</v>
      </c>
      <c r="I70" s="6">
        <f>INT(VALUE(LEFT(Table2[[#This Row],[runtime_min]],FIND(" ",Table2[[#This Row],[runtime_min]])-1))/60)*100 + MOD(VALUE(LEFT(Table2[[#This Row],[runtime_min]],FIND(" ",Table2[[#This Row],[runtime_min]])-1)),60)</f>
        <v>55</v>
      </c>
      <c r="J70" s="4" t="s">
        <v>123</v>
      </c>
      <c r="K70" s="7" t="s">
        <v>357</v>
      </c>
      <c r="L70" s="11"/>
      <c r="M70" s="9" t="s">
        <v>31</v>
      </c>
      <c r="N70" s="10" t="s">
        <v>23</v>
      </c>
    </row>
    <row r="71" spans="1:14" ht="14" x14ac:dyDescent="0.15">
      <c r="A71" s="4" t="s">
        <v>342</v>
      </c>
      <c r="B71" s="4" t="s">
        <v>358</v>
      </c>
      <c r="C71" s="5" t="s">
        <v>359</v>
      </c>
      <c r="D71" s="4" t="s">
        <v>95</v>
      </c>
      <c r="E71" s="4" t="s">
        <v>204</v>
      </c>
      <c r="F71" s="4" t="s">
        <v>345</v>
      </c>
      <c r="G71" s="4"/>
      <c r="H71" s="5" t="s">
        <v>346</v>
      </c>
      <c r="I71" s="6">
        <f>INT(VALUE(LEFT(Table2[[#This Row],[runtime_min]],FIND(" ",Table2[[#This Row],[runtime_min]])-1))/60)*100 + MOD(VALUE(LEFT(Table2[[#This Row],[runtime_min]],FIND(" ",Table2[[#This Row],[runtime_min]])-1)),60)</f>
        <v>55</v>
      </c>
      <c r="J71" s="4" t="s">
        <v>109</v>
      </c>
      <c r="K71" s="7" t="s">
        <v>360</v>
      </c>
      <c r="L71" s="11"/>
      <c r="M71" s="9" t="s">
        <v>31</v>
      </c>
      <c r="N71" s="10" t="s">
        <v>23</v>
      </c>
    </row>
    <row r="72" spans="1:14" ht="14" x14ac:dyDescent="0.15">
      <c r="A72" s="4" t="s">
        <v>342</v>
      </c>
      <c r="B72" s="4" t="s">
        <v>361</v>
      </c>
      <c r="C72" s="5" t="s">
        <v>362</v>
      </c>
      <c r="D72" s="4" t="s">
        <v>95</v>
      </c>
      <c r="E72" s="4" t="s">
        <v>204</v>
      </c>
      <c r="F72" s="4" t="s">
        <v>345</v>
      </c>
      <c r="G72" s="4"/>
      <c r="H72" s="5" t="s">
        <v>346</v>
      </c>
      <c r="I72" s="6">
        <f>INT(VALUE(LEFT(Table2[[#This Row],[runtime_min]],FIND(" ",Table2[[#This Row],[runtime_min]])-1))/60)*100 + MOD(VALUE(LEFT(Table2[[#This Row],[runtime_min]],FIND(" ",Table2[[#This Row],[runtime_min]])-1)),60)</f>
        <v>55</v>
      </c>
      <c r="J72" s="4" t="s">
        <v>127</v>
      </c>
      <c r="K72" s="7" t="s">
        <v>363</v>
      </c>
      <c r="L72" s="11"/>
      <c r="M72" s="9" t="s">
        <v>31</v>
      </c>
      <c r="N72" s="10" t="s">
        <v>23</v>
      </c>
    </row>
    <row r="73" spans="1:14" ht="14" x14ac:dyDescent="0.15">
      <c r="A73" s="4" t="s">
        <v>342</v>
      </c>
      <c r="B73" s="4" t="s">
        <v>364</v>
      </c>
      <c r="C73" s="5" t="s">
        <v>365</v>
      </c>
      <c r="D73" s="4" t="s">
        <v>95</v>
      </c>
      <c r="E73" s="4" t="s">
        <v>204</v>
      </c>
      <c r="F73" s="4" t="s">
        <v>345</v>
      </c>
      <c r="G73" s="4"/>
      <c r="H73" s="5" t="s">
        <v>346</v>
      </c>
      <c r="I73" s="6">
        <f>INT(VALUE(LEFT(Table2[[#This Row],[runtime_min]],FIND(" ",Table2[[#This Row],[runtime_min]])-1))/60)*100 + MOD(VALUE(LEFT(Table2[[#This Row],[runtime_min]],FIND(" ",Table2[[#This Row],[runtime_min]])-1)),60)</f>
        <v>55</v>
      </c>
      <c r="J73" s="4" t="s">
        <v>114</v>
      </c>
      <c r="K73" s="7" t="s">
        <v>366</v>
      </c>
      <c r="L73" s="11"/>
      <c r="M73" s="9" t="s">
        <v>31</v>
      </c>
      <c r="N73" s="10" t="s">
        <v>23</v>
      </c>
    </row>
    <row r="74" spans="1:14" ht="14" x14ac:dyDescent="0.15">
      <c r="A74" s="4" t="s">
        <v>342</v>
      </c>
      <c r="B74" s="4" t="s">
        <v>367</v>
      </c>
      <c r="C74" s="5" t="s">
        <v>368</v>
      </c>
      <c r="D74" s="4" t="s">
        <v>95</v>
      </c>
      <c r="E74" s="4" t="s">
        <v>204</v>
      </c>
      <c r="F74" s="4" t="s">
        <v>345</v>
      </c>
      <c r="G74" s="4"/>
      <c r="H74" s="5" t="s">
        <v>346</v>
      </c>
      <c r="I74" s="6">
        <f>INT(VALUE(LEFT(Table2[[#This Row],[runtime_min]],FIND(" ",Table2[[#This Row],[runtime_min]])-1))/60)*100 + MOD(VALUE(LEFT(Table2[[#This Row],[runtime_min]],FIND(" ",Table2[[#This Row],[runtime_min]])-1)),60)</f>
        <v>55</v>
      </c>
      <c r="J74" s="4" t="s">
        <v>119</v>
      </c>
      <c r="K74" s="7" t="s">
        <v>369</v>
      </c>
      <c r="L74" s="11"/>
      <c r="M74" s="9" t="s">
        <v>31</v>
      </c>
      <c r="N74" s="10" t="s">
        <v>23</v>
      </c>
    </row>
    <row r="75" spans="1:14" ht="14" x14ac:dyDescent="0.15">
      <c r="A75" s="4" t="s">
        <v>342</v>
      </c>
      <c r="B75" s="4" t="s">
        <v>370</v>
      </c>
      <c r="C75" s="5" t="s">
        <v>371</v>
      </c>
      <c r="D75" s="4" t="s">
        <v>95</v>
      </c>
      <c r="E75" s="4" t="s">
        <v>204</v>
      </c>
      <c r="F75" s="4" t="s">
        <v>345</v>
      </c>
      <c r="G75" s="4"/>
      <c r="H75" s="5" t="s">
        <v>346</v>
      </c>
      <c r="I75" s="6">
        <f>INT(VALUE(LEFT(Table2[[#This Row],[runtime_min]],FIND(" ",Table2[[#This Row],[runtime_min]])-1))/60)*100 + MOD(VALUE(LEFT(Table2[[#This Row],[runtime_min]],FIND(" ",Table2[[#This Row],[runtime_min]])-1)),60)</f>
        <v>55</v>
      </c>
      <c r="J75" s="4" t="s">
        <v>336</v>
      </c>
      <c r="K75" s="7" t="s">
        <v>372</v>
      </c>
      <c r="L75" s="11"/>
      <c r="M75" s="9" t="s">
        <v>31</v>
      </c>
      <c r="N75" s="10" t="s">
        <v>23</v>
      </c>
    </row>
    <row r="76" spans="1:14" ht="14" x14ac:dyDescent="0.15">
      <c r="A76" s="4" t="s">
        <v>342</v>
      </c>
      <c r="B76" s="4" t="s">
        <v>373</v>
      </c>
      <c r="C76" s="5" t="s">
        <v>374</v>
      </c>
      <c r="D76" s="4" t="s">
        <v>95</v>
      </c>
      <c r="E76" s="4" t="s">
        <v>204</v>
      </c>
      <c r="F76" s="4" t="s">
        <v>345</v>
      </c>
      <c r="G76" s="4"/>
      <c r="H76" s="5" t="s">
        <v>346</v>
      </c>
      <c r="I76" s="6">
        <f>INT(VALUE(LEFT(Table2[[#This Row],[runtime_min]],FIND(" ",Table2[[#This Row],[runtime_min]])-1))/60)*100 + MOD(VALUE(LEFT(Table2[[#This Row],[runtime_min]],FIND(" ",Table2[[#This Row],[runtime_min]])-1)),60)</f>
        <v>55</v>
      </c>
      <c r="J76" s="4" t="s">
        <v>309</v>
      </c>
      <c r="K76" s="7" t="s">
        <v>375</v>
      </c>
      <c r="L76" s="11"/>
      <c r="M76" s="9" t="s">
        <v>31</v>
      </c>
      <c r="N76" s="10" t="s">
        <v>23</v>
      </c>
    </row>
    <row r="77" spans="1:14" ht="14" x14ac:dyDescent="0.15">
      <c r="A77" s="4" t="s">
        <v>342</v>
      </c>
      <c r="B77" s="4" t="s">
        <v>376</v>
      </c>
      <c r="C77" s="5" t="s">
        <v>377</v>
      </c>
      <c r="D77" s="4" t="s">
        <v>95</v>
      </c>
      <c r="E77" s="4" t="s">
        <v>204</v>
      </c>
      <c r="F77" s="4" t="s">
        <v>345</v>
      </c>
      <c r="G77" s="4"/>
      <c r="H77" s="5" t="s">
        <v>346</v>
      </c>
      <c r="I77" s="6">
        <f>INT(VALUE(LEFT(Table2[[#This Row],[runtime_min]],FIND(" ",Table2[[#This Row],[runtime_min]])-1))/60)*100 + MOD(VALUE(LEFT(Table2[[#This Row],[runtime_min]],FIND(" ",Table2[[#This Row],[runtime_min]])-1)),60)</f>
        <v>55</v>
      </c>
      <c r="J77" s="4" t="s">
        <v>340</v>
      </c>
      <c r="K77" s="7" t="s">
        <v>378</v>
      </c>
      <c r="L77" s="11"/>
      <c r="M77" s="9" t="s">
        <v>31</v>
      </c>
      <c r="N77" s="10" t="s">
        <v>23</v>
      </c>
    </row>
    <row r="78" spans="1:14" ht="14" x14ac:dyDescent="0.15">
      <c r="A78" s="4" t="s">
        <v>342</v>
      </c>
      <c r="B78" s="4" t="s">
        <v>379</v>
      </c>
      <c r="C78" s="5" t="s">
        <v>380</v>
      </c>
      <c r="D78" s="4" t="s">
        <v>95</v>
      </c>
      <c r="E78" s="4" t="s">
        <v>204</v>
      </c>
      <c r="F78" s="4" t="s">
        <v>345</v>
      </c>
      <c r="G78" s="4"/>
      <c r="H78" s="5" t="s">
        <v>346</v>
      </c>
      <c r="I78" s="6">
        <f>INT(VALUE(LEFT(Table2[[#This Row],[runtime_min]],FIND(" ",Table2[[#This Row],[runtime_min]])-1))/60)*100 + MOD(VALUE(LEFT(Table2[[#This Row],[runtime_min]],FIND(" ",Table2[[#This Row],[runtime_min]])-1)),60)</f>
        <v>55</v>
      </c>
      <c r="J78" s="4" t="s">
        <v>381</v>
      </c>
      <c r="K78" s="7" t="s">
        <v>382</v>
      </c>
      <c r="L78" s="11"/>
      <c r="M78" s="9" t="s">
        <v>31</v>
      </c>
      <c r="N78" s="10" t="s">
        <v>23</v>
      </c>
    </row>
    <row r="79" spans="1:14" ht="14" x14ac:dyDescent="0.15">
      <c r="A79" s="4" t="s">
        <v>342</v>
      </c>
      <c r="B79" s="4" t="s">
        <v>383</v>
      </c>
      <c r="C79" s="5" t="s">
        <v>384</v>
      </c>
      <c r="D79" s="4" t="s">
        <v>95</v>
      </c>
      <c r="E79" s="4" t="s">
        <v>204</v>
      </c>
      <c r="F79" s="4" t="s">
        <v>345</v>
      </c>
      <c r="G79" s="4"/>
      <c r="H79" s="5" t="s">
        <v>346</v>
      </c>
      <c r="I79" s="6">
        <f>INT(VALUE(LEFT(Table2[[#This Row],[runtime_min]],FIND(" ",Table2[[#This Row],[runtime_min]])-1))/60)*100 + MOD(VALUE(LEFT(Table2[[#This Row],[runtime_min]],FIND(" ",Table2[[#This Row],[runtime_min]])-1)),60)</f>
        <v>55</v>
      </c>
      <c r="J79" s="4" t="s">
        <v>385</v>
      </c>
      <c r="K79" s="7" t="s">
        <v>386</v>
      </c>
      <c r="L79" s="11"/>
      <c r="M79" s="9" t="s">
        <v>31</v>
      </c>
      <c r="N79" s="10" t="s">
        <v>23</v>
      </c>
    </row>
    <row r="80" spans="1:14" ht="14" x14ac:dyDescent="0.15">
      <c r="A80" s="4" t="s">
        <v>387</v>
      </c>
      <c r="B80" s="4" t="s">
        <v>388</v>
      </c>
      <c r="C80" s="5" t="s">
        <v>389</v>
      </c>
      <c r="D80" s="4" t="s">
        <v>95</v>
      </c>
      <c r="E80" s="4" t="s">
        <v>204</v>
      </c>
      <c r="F80" s="4" t="s">
        <v>390</v>
      </c>
      <c r="G80" s="4"/>
      <c r="H80" s="5" t="s">
        <v>391</v>
      </c>
      <c r="I80" s="6">
        <f>INT(VALUE(LEFT(Table2[[#This Row],[runtime_min]],FIND(" ",Table2[[#This Row],[runtime_min]])-1))/60)*100 + MOD(VALUE(LEFT(Table2[[#This Row],[runtime_min]],FIND(" ",Table2[[#This Row],[runtime_min]])-1)),60)</f>
        <v>30</v>
      </c>
      <c r="J80" s="4" t="s">
        <v>99</v>
      </c>
      <c r="K80" s="7" t="s">
        <v>392</v>
      </c>
      <c r="L80" s="11"/>
      <c r="M80" s="9" t="s">
        <v>31</v>
      </c>
      <c r="N80" s="10" t="s">
        <v>23</v>
      </c>
    </row>
    <row r="81" spans="1:14" ht="14" x14ac:dyDescent="0.15">
      <c r="A81" s="4" t="s">
        <v>387</v>
      </c>
      <c r="B81" s="4" t="s">
        <v>393</v>
      </c>
      <c r="C81" s="5" t="s">
        <v>394</v>
      </c>
      <c r="D81" s="4" t="s">
        <v>95</v>
      </c>
      <c r="E81" s="4" t="s">
        <v>204</v>
      </c>
      <c r="F81" s="4" t="s">
        <v>390</v>
      </c>
      <c r="G81" s="4"/>
      <c r="H81" s="5" t="s">
        <v>391</v>
      </c>
      <c r="I81" s="6">
        <f>INT(VALUE(LEFT(Table2[[#This Row],[runtime_min]],FIND(" ",Table2[[#This Row],[runtime_min]])-1))/60)*100 + MOD(VALUE(LEFT(Table2[[#This Row],[runtime_min]],FIND(" ",Table2[[#This Row],[runtime_min]])-1)),60)</f>
        <v>30</v>
      </c>
      <c r="J81" s="4" t="s">
        <v>104</v>
      </c>
      <c r="K81" s="7" t="s">
        <v>395</v>
      </c>
      <c r="L81" s="11"/>
      <c r="M81" s="9" t="s">
        <v>31</v>
      </c>
      <c r="N81" s="10" t="s">
        <v>23</v>
      </c>
    </row>
    <row r="82" spans="1:14" ht="14" x14ac:dyDescent="0.15">
      <c r="A82" s="4" t="s">
        <v>387</v>
      </c>
      <c r="B82" s="4" t="s">
        <v>396</v>
      </c>
      <c r="C82" s="5" t="s">
        <v>397</v>
      </c>
      <c r="D82" s="4" t="s">
        <v>95</v>
      </c>
      <c r="E82" s="4" t="s">
        <v>204</v>
      </c>
      <c r="F82" s="4" t="s">
        <v>390</v>
      </c>
      <c r="G82" s="4"/>
      <c r="H82" s="5" t="s">
        <v>391</v>
      </c>
      <c r="I82" s="6">
        <f>INT(VALUE(LEFT(Table2[[#This Row],[runtime_min]],FIND(" ",Table2[[#This Row],[runtime_min]])-1))/60)*100 + MOD(VALUE(LEFT(Table2[[#This Row],[runtime_min]],FIND(" ",Table2[[#This Row],[runtime_min]])-1)),60)</f>
        <v>30</v>
      </c>
      <c r="J82" s="4" t="s">
        <v>123</v>
      </c>
      <c r="K82" s="7" t="s">
        <v>398</v>
      </c>
      <c r="L82" s="11"/>
      <c r="M82" s="9" t="s">
        <v>31</v>
      </c>
      <c r="N82" s="10" t="s">
        <v>23</v>
      </c>
    </row>
    <row r="83" spans="1:14" ht="14" x14ac:dyDescent="0.15">
      <c r="A83" s="4" t="s">
        <v>387</v>
      </c>
      <c r="B83" s="4" t="s">
        <v>399</v>
      </c>
      <c r="C83" s="5" t="s">
        <v>400</v>
      </c>
      <c r="D83" s="4" t="s">
        <v>95</v>
      </c>
      <c r="E83" s="4" t="s">
        <v>204</v>
      </c>
      <c r="F83" s="4" t="s">
        <v>390</v>
      </c>
      <c r="G83" s="4"/>
      <c r="H83" s="5" t="s">
        <v>391</v>
      </c>
      <c r="I83" s="6">
        <f>INT(VALUE(LEFT(Table2[[#This Row],[runtime_min]],FIND(" ",Table2[[#This Row],[runtime_min]])-1))/60)*100 + MOD(VALUE(LEFT(Table2[[#This Row],[runtime_min]],FIND(" ",Table2[[#This Row],[runtime_min]])-1)),60)</f>
        <v>30</v>
      </c>
      <c r="J83" s="4" t="s">
        <v>109</v>
      </c>
      <c r="K83" s="7" t="s">
        <v>401</v>
      </c>
      <c r="L83" s="11"/>
      <c r="M83" s="9" t="s">
        <v>31</v>
      </c>
      <c r="N83" s="10" t="s">
        <v>23</v>
      </c>
    </row>
    <row r="84" spans="1:14" ht="14" x14ac:dyDescent="0.15">
      <c r="A84" s="4" t="s">
        <v>387</v>
      </c>
      <c r="B84" s="4" t="s">
        <v>402</v>
      </c>
      <c r="C84" s="5" t="s">
        <v>403</v>
      </c>
      <c r="D84" s="4" t="s">
        <v>95</v>
      </c>
      <c r="E84" s="4" t="s">
        <v>204</v>
      </c>
      <c r="F84" s="4" t="s">
        <v>390</v>
      </c>
      <c r="G84" s="4"/>
      <c r="H84" s="5" t="s">
        <v>391</v>
      </c>
      <c r="I84" s="6">
        <f>INT(VALUE(LEFT(Table2[[#This Row],[runtime_min]],FIND(" ",Table2[[#This Row],[runtime_min]])-1))/60)*100 + MOD(VALUE(LEFT(Table2[[#This Row],[runtime_min]],FIND(" ",Table2[[#This Row],[runtime_min]])-1)),60)</f>
        <v>30</v>
      </c>
      <c r="J84" s="4" t="s">
        <v>127</v>
      </c>
      <c r="K84" s="7" t="s">
        <v>404</v>
      </c>
      <c r="L84" s="11"/>
      <c r="M84" s="9" t="s">
        <v>31</v>
      </c>
      <c r="N84" s="10" t="s">
        <v>23</v>
      </c>
    </row>
    <row r="85" spans="1:14" ht="14" x14ac:dyDescent="0.15">
      <c r="A85" s="4" t="s">
        <v>387</v>
      </c>
      <c r="B85" s="4" t="s">
        <v>405</v>
      </c>
      <c r="C85" s="5" t="s">
        <v>406</v>
      </c>
      <c r="D85" s="4" t="s">
        <v>95</v>
      </c>
      <c r="E85" s="4" t="s">
        <v>204</v>
      </c>
      <c r="F85" s="4" t="s">
        <v>390</v>
      </c>
      <c r="G85" s="4"/>
      <c r="H85" s="5" t="s">
        <v>391</v>
      </c>
      <c r="I85" s="6">
        <f>INT(VALUE(LEFT(Table2[[#This Row],[runtime_min]],FIND(" ",Table2[[#This Row],[runtime_min]])-1))/60)*100 + MOD(VALUE(LEFT(Table2[[#This Row],[runtime_min]],FIND(" ",Table2[[#This Row],[runtime_min]])-1)),60)</f>
        <v>30</v>
      </c>
      <c r="J85" s="4" t="s">
        <v>114</v>
      </c>
      <c r="K85" s="7" t="s">
        <v>407</v>
      </c>
      <c r="L85" s="11"/>
      <c r="M85" s="9" t="s">
        <v>31</v>
      </c>
      <c r="N85" s="10" t="s">
        <v>23</v>
      </c>
    </row>
    <row r="86" spans="1:14" x14ac:dyDescent="0.15">
      <c r="A86" s="4" t="s">
        <v>408</v>
      </c>
      <c r="B86" s="4" t="s">
        <v>409</v>
      </c>
      <c r="C86" s="5" t="s">
        <v>410</v>
      </c>
      <c r="D86" s="4" t="s">
        <v>27</v>
      </c>
      <c r="E86" s="4" t="s">
        <v>411</v>
      </c>
      <c r="F86" s="4" t="s">
        <v>59</v>
      </c>
      <c r="G86" s="4" t="s">
        <v>412</v>
      </c>
      <c r="H86" s="5" t="s">
        <v>413</v>
      </c>
      <c r="I86" s="6">
        <f>INT(VALUE(LEFT(Table2[[#This Row],[runtime_min]],FIND(" ",Table2[[#This Row],[runtime_min]])-1))/60)*100 + MOD(VALUE(LEFT(Table2[[#This Row],[runtime_min]],FIND(" ",Table2[[#This Row],[runtime_min]])-1)),60)</f>
        <v>215</v>
      </c>
      <c r="J86" s="4"/>
      <c r="K86" s="7"/>
      <c r="L86" s="11"/>
      <c r="M86" s="9" t="s">
        <v>31</v>
      </c>
      <c r="N86" s="10" t="s">
        <v>23</v>
      </c>
    </row>
    <row r="87" spans="1:14" ht="14" x14ac:dyDescent="0.15">
      <c r="A87" s="4" t="s">
        <v>414</v>
      </c>
      <c r="B87" s="4" t="s">
        <v>415</v>
      </c>
      <c r="C87" s="5" t="s">
        <v>416</v>
      </c>
      <c r="D87" s="4" t="s">
        <v>95</v>
      </c>
      <c r="E87" s="4" t="s">
        <v>64</v>
      </c>
      <c r="F87" s="4" t="s">
        <v>417</v>
      </c>
      <c r="G87" s="4" t="s">
        <v>418</v>
      </c>
      <c r="H87" s="5" t="s">
        <v>419</v>
      </c>
      <c r="I87" s="6">
        <f>INT(VALUE(LEFT(Table2[[#This Row],[runtime_min]],FIND(" ",Table2[[#This Row],[runtime_min]])-1))/60)*100 + MOD(VALUE(LEFT(Table2[[#This Row],[runtime_min]],FIND(" ",Table2[[#This Row],[runtime_min]])-1)),60)</f>
        <v>45</v>
      </c>
      <c r="J87" s="4" t="s">
        <v>99</v>
      </c>
      <c r="K87" s="7" t="s">
        <v>420</v>
      </c>
      <c r="L87" s="11"/>
      <c r="M87" s="9" t="s">
        <v>31</v>
      </c>
      <c r="N87" s="10" t="s">
        <v>23</v>
      </c>
    </row>
    <row r="88" spans="1:14" ht="14" x14ac:dyDescent="0.15">
      <c r="A88" s="4" t="s">
        <v>414</v>
      </c>
      <c r="B88" s="4" t="s">
        <v>421</v>
      </c>
      <c r="C88" s="5" t="s">
        <v>422</v>
      </c>
      <c r="D88" s="4" t="s">
        <v>95</v>
      </c>
      <c r="E88" s="4" t="s">
        <v>64</v>
      </c>
      <c r="F88" s="4" t="s">
        <v>417</v>
      </c>
      <c r="G88" s="4" t="s">
        <v>418</v>
      </c>
      <c r="H88" s="5" t="s">
        <v>419</v>
      </c>
      <c r="I88" s="6">
        <f>INT(VALUE(LEFT(Table2[[#This Row],[runtime_min]],FIND(" ",Table2[[#This Row],[runtime_min]])-1))/60)*100 + MOD(VALUE(LEFT(Table2[[#This Row],[runtime_min]],FIND(" ",Table2[[#This Row],[runtime_min]])-1)),60)</f>
        <v>45</v>
      </c>
      <c r="J88" s="4" t="s">
        <v>104</v>
      </c>
      <c r="K88" s="7" t="s">
        <v>423</v>
      </c>
      <c r="L88" s="11"/>
      <c r="M88" s="9" t="s">
        <v>31</v>
      </c>
      <c r="N88" s="10" t="s">
        <v>23</v>
      </c>
    </row>
    <row r="89" spans="1:14" ht="14" x14ac:dyDescent="0.15">
      <c r="A89" s="4" t="s">
        <v>414</v>
      </c>
      <c r="B89" s="4" t="s">
        <v>424</v>
      </c>
      <c r="C89" s="5" t="s">
        <v>425</v>
      </c>
      <c r="D89" s="4" t="s">
        <v>95</v>
      </c>
      <c r="E89" s="4" t="s">
        <v>64</v>
      </c>
      <c r="F89" s="4" t="s">
        <v>417</v>
      </c>
      <c r="G89" s="4" t="s">
        <v>418</v>
      </c>
      <c r="H89" s="5" t="s">
        <v>419</v>
      </c>
      <c r="I89" s="6">
        <f>INT(VALUE(LEFT(Table2[[#This Row],[runtime_min]],FIND(" ",Table2[[#This Row],[runtime_min]])-1))/60)*100 + MOD(VALUE(LEFT(Table2[[#This Row],[runtime_min]],FIND(" ",Table2[[#This Row],[runtime_min]])-1)),60)</f>
        <v>45</v>
      </c>
      <c r="J89" s="4" t="s">
        <v>123</v>
      </c>
      <c r="K89" s="7" t="s">
        <v>426</v>
      </c>
      <c r="L89" s="11"/>
      <c r="M89" s="9" t="s">
        <v>31</v>
      </c>
      <c r="N89" s="10" t="s">
        <v>23</v>
      </c>
    </row>
    <row r="90" spans="1:14" ht="14" x14ac:dyDescent="0.15">
      <c r="A90" s="4" t="s">
        <v>414</v>
      </c>
      <c r="B90" s="4" t="s">
        <v>427</v>
      </c>
      <c r="C90" s="5" t="s">
        <v>428</v>
      </c>
      <c r="D90" s="4" t="s">
        <v>95</v>
      </c>
      <c r="E90" s="4" t="s">
        <v>64</v>
      </c>
      <c r="F90" s="4" t="s">
        <v>417</v>
      </c>
      <c r="G90" s="4" t="s">
        <v>418</v>
      </c>
      <c r="H90" s="5" t="s">
        <v>419</v>
      </c>
      <c r="I90" s="6">
        <f>INT(VALUE(LEFT(Table2[[#This Row],[runtime_min]],FIND(" ",Table2[[#This Row],[runtime_min]])-1))/60)*100 + MOD(VALUE(LEFT(Table2[[#This Row],[runtime_min]],FIND(" ",Table2[[#This Row],[runtime_min]])-1)),60)</f>
        <v>45</v>
      </c>
      <c r="J90" s="4" t="s">
        <v>109</v>
      </c>
      <c r="K90" s="7" t="s">
        <v>429</v>
      </c>
      <c r="L90" s="11"/>
      <c r="M90" s="9" t="s">
        <v>31</v>
      </c>
      <c r="N90" s="10" t="s">
        <v>23</v>
      </c>
    </row>
    <row r="91" spans="1:14" ht="14" x14ac:dyDescent="0.15">
      <c r="A91" s="4" t="s">
        <v>414</v>
      </c>
      <c r="B91" s="4" t="s">
        <v>430</v>
      </c>
      <c r="C91" s="5" t="s">
        <v>431</v>
      </c>
      <c r="D91" s="4" t="s">
        <v>95</v>
      </c>
      <c r="E91" s="4" t="s">
        <v>64</v>
      </c>
      <c r="F91" s="4" t="s">
        <v>417</v>
      </c>
      <c r="G91" s="4" t="s">
        <v>418</v>
      </c>
      <c r="H91" s="5" t="s">
        <v>419</v>
      </c>
      <c r="I91" s="6">
        <f>INT(VALUE(LEFT(Table2[[#This Row],[runtime_min]],FIND(" ",Table2[[#This Row],[runtime_min]])-1))/60)*100 + MOD(VALUE(LEFT(Table2[[#This Row],[runtime_min]],FIND(" ",Table2[[#This Row],[runtime_min]])-1)),60)</f>
        <v>45</v>
      </c>
      <c r="J91" s="4" t="s">
        <v>127</v>
      </c>
      <c r="K91" s="7" t="s">
        <v>432</v>
      </c>
      <c r="L91" s="11"/>
      <c r="M91" s="9" t="s">
        <v>31</v>
      </c>
      <c r="N91" s="10" t="s">
        <v>23</v>
      </c>
    </row>
    <row r="92" spans="1:14" ht="14" x14ac:dyDescent="0.15">
      <c r="A92" s="4" t="s">
        <v>414</v>
      </c>
      <c r="B92" s="4" t="s">
        <v>433</v>
      </c>
      <c r="C92" s="5" t="s">
        <v>434</v>
      </c>
      <c r="D92" s="4" t="s">
        <v>95</v>
      </c>
      <c r="E92" s="4" t="s">
        <v>64</v>
      </c>
      <c r="F92" s="4" t="s">
        <v>417</v>
      </c>
      <c r="G92" s="4" t="s">
        <v>418</v>
      </c>
      <c r="H92" s="5" t="s">
        <v>419</v>
      </c>
      <c r="I92" s="6">
        <f>INT(VALUE(LEFT(Table2[[#This Row],[runtime_min]],FIND(" ",Table2[[#This Row],[runtime_min]])-1))/60)*100 + MOD(VALUE(LEFT(Table2[[#This Row],[runtime_min]],FIND(" ",Table2[[#This Row],[runtime_min]])-1)),60)</f>
        <v>45</v>
      </c>
      <c r="J92" s="4" t="s">
        <v>114</v>
      </c>
      <c r="K92" s="7" t="s">
        <v>435</v>
      </c>
      <c r="L92" s="11"/>
      <c r="M92" s="9" t="s">
        <v>31</v>
      </c>
      <c r="N92" s="10" t="s">
        <v>23</v>
      </c>
    </row>
    <row r="93" spans="1:14" ht="14" x14ac:dyDescent="0.15">
      <c r="A93" s="4" t="s">
        <v>436</v>
      </c>
      <c r="B93" s="4" t="s">
        <v>437</v>
      </c>
      <c r="C93" s="5" t="s">
        <v>438</v>
      </c>
      <c r="D93" s="4" t="s">
        <v>27</v>
      </c>
      <c r="E93" s="4" t="s">
        <v>35</v>
      </c>
      <c r="F93" s="4" t="s">
        <v>439</v>
      </c>
      <c r="G93" s="4" t="s">
        <v>440</v>
      </c>
      <c r="H93" s="5" t="s">
        <v>441</v>
      </c>
      <c r="I93" s="6">
        <f>INT(VALUE(LEFT(Table2[[#This Row],[runtime_min]],FIND(" ",Table2[[#This Row],[runtime_min]])-1))/60)*100 + MOD(VALUE(LEFT(Table2[[#This Row],[runtime_min]],FIND(" ",Table2[[#This Row],[runtime_min]])-1)),60)</f>
        <v>152</v>
      </c>
      <c r="J93" s="4"/>
      <c r="K93" s="7"/>
      <c r="L93" s="11" t="s">
        <v>442</v>
      </c>
      <c r="M93" s="9" t="s">
        <v>23</v>
      </c>
      <c r="N93" s="10" t="s">
        <v>23</v>
      </c>
    </row>
    <row r="94" spans="1:14" x14ac:dyDescent="0.15">
      <c r="A94" s="4" t="s">
        <v>443</v>
      </c>
      <c r="B94" s="4" t="s">
        <v>444</v>
      </c>
      <c r="C94" s="5" t="s">
        <v>445</v>
      </c>
      <c r="D94" s="4" t="s">
        <v>27</v>
      </c>
      <c r="E94" s="4" t="s">
        <v>35</v>
      </c>
      <c r="F94" s="4" t="s">
        <v>417</v>
      </c>
      <c r="G94" s="4" t="s">
        <v>446</v>
      </c>
      <c r="H94" s="5" t="s">
        <v>447</v>
      </c>
      <c r="I94" s="6">
        <f>INT(VALUE(LEFT(Table2[[#This Row],[runtime_min]],FIND(" ",Table2[[#This Row],[runtime_min]])-1))/60)*100 + MOD(VALUE(LEFT(Table2[[#This Row],[runtime_min]],FIND(" ",Table2[[#This Row],[runtime_min]])-1)),60)</f>
        <v>218</v>
      </c>
      <c r="J94" s="4"/>
      <c r="K94" s="7"/>
      <c r="L94" s="11"/>
      <c r="M94" s="9" t="s">
        <v>31</v>
      </c>
      <c r="N94" s="10" t="s">
        <v>23</v>
      </c>
    </row>
    <row r="95" spans="1:14" x14ac:dyDescent="0.15">
      <c r="A95" s="4" t="s">
        <v>448</v>
      </c>
      <c r="B95" s="4" t="s">
        <v>449</v>
      </c>
      <c r="C95" s="5" t="s">
        <v>450</v>
      </c>
      <c r="D95" s="4" t="s">
        <v>17</v>
      </c>
      <c r="E95" s="4" t="s">
        <v>451</v>
      </c>
      <c r="F95" s="4" t="s">
        <v>295</v>
      </c>
      <c r="G95" s="4" t="s">
        <v>452</v>
      </c>
      <c r="H95" s="5" t="s">
        <v>453</v>
      </c>
      <c r="I95" s="6">
        <f>INT(VALUE(LEFT(Table2[[#This Row],[runtime_min]],FIND(" ",Table2[[#This Row],[runtime_min]])-1))/60)*100 + MOD(VALUE(LEFT(Table2[[#This Row],[runtime_min]],FIND(" ",Table2[[#This Row],[runtime_min]])-1)),60)</f>
        <v>43</v>
      </c>
      <c r="J95" s="4"/>
      <c r="K95" s="7"/>
      <c r="L95" s="11"/>
      <c r="M95" s="9" t="s">
        <v>31</v>
      </c>
      <c r="N95" s="10" t="s">
        <v>23</v>
      </c>
    </row>
    <row r="96" spans="1:14" ht="14" x14ac:dyDescent="0.15">
      <c r="A96" s="4" t="s">
        <v>454</v>
      </c>
      <c r="B96" s="4" t="s">
        <v>455</v>
      </c>
      <c r="C96" s="5" t="s">
        <v>456</v>
      </c>
      <c r="D96" s="4" t="s">
        <v>17</v>
      </c>
      <c r="E96" s="4" t="s">
        <v>457</v>
      </c>
      <c r="F96" s="4" t="s">
        <v>28</v>
      </c>
      <c r="G96" s="4" t="s">
        <v>458</v>
      </c>
      <c r="H96" s="5" t="s">
        <v>459</v>
      </c>
      <c r="I96" s="6">
        <f>INT(VALUE(LEFT(Table2[[#This Row],[runtime_min]],FIND(" ",Table2[[#This Row],[runtime_min]])-1))/60)*100 + MOD(VALUE(LEFT(Table2[[#This Row],[runtime_min]],FIND(" ",Table2[[#This Row],[runtime_min]])-1)),60)</f>
        <v>123</v>
      </c>
      <c r="J96" s="4"/>
      <c r="K96" s="7"/>
      <c r="L96" s="11" t="s">
        <v>173</v>
      </c>
      <c r="M96" s="9" t="s">
        <v>23</v>
      </c>
      <c r="N96" s="10" t="s">
        <v>23</v>
      </c>
    </row>
    <row r="97" spans="1:14" ht="14" x14ac:dyDescent="0.15">
      <c r="A97" s="4" t="s">
        <v>460</v>
      </c>
      <c r="B97" s="4" t="s">
        <v>461</v>
      </c>
      <c r="C97" s="5" t="s">
        <v>462</v>
      </c>
      <c r="D97" s="4" t="s">
        <v>95</v>
      </c>
      <c r="E97" s="4" t="s">
        <v>53</v>
      </c>
      <c r="F97" s="4" t="s">
        <v>463</v>
      </c>
      <c r="G97" s="4" t="s">
        <v>464</v>
      </c>
      <c r="H97" s="5" t="s">
        <v>113</v>
      </c>
      <c r="I97" s="6">
        <f>INT(VALUE(LEFT(Table2[[#This Row],[runtime_min]],FIND(" ",Table2[[#This Row],[runtime_min]])-1))/60)*100 + MOD(VALUE(LEFT(Table2[[#This Row],[runtime_min]],FIND(" ",Table2[[#This Row],[runtime_min]])-1)),60)</f>
        <v>50</v>
      </c>
      <c r="J97" s="4" t="s">
        <v>99</v>
      </c>
      <c r="K97" s="7" t="s">
        <v>465</v>
      </c>
      <c r="L97" s="11"/>
      <c r="M97" s="9" t="s">
        <v>23</v>
      </c>
      <c r="N97" s="10" t="s">
        <v>23</v>
      </c>
    </row>
    <row r="98" spans="1:14" ht="28" x14ac:dyDescent="0.15">
      <c r="A98" s="4" t="s">
        <v>460</v>
      </c>
      <c r="B98" s="4" t="s">
        <v>466</v>
      </c>
      <c r="C98" s="5" t="s">
        <v>467</v>
      </c>
      <c r="D98" s="4" t="s">
        <v>95</v>
      </c>
      <c r="E98" s="4" t="s">
        <v>53</v>
      </c>
      <c r="F98" s="4" t="s">
        <v>463</v>
      </c>
      <c r="G98" s="4" t="s">
        <v>468</v>
      </c>
      <c r="H98" s="5" t="s">
        <v>103</v>
      </c>
      <c r="I98" s="6">
        <f>INT(VALUE(LEFT(Table2[[#This Row],[runtime_min]],FIND(" ",Table2[[#This Row],[runtime_min]])-1))/60)*100 + MOD(VALUE(LEFT(Table2[[#This Row],[runtime_min]],FIND(" ",Table2[[#This Row],[runtime_min]])-1)),60)</f>
        <v>54</v>
      </c>
      <c r="J98" s="4" t="s">
        <v>104</v>
      </c>
      <c r="K98" s="7" t="s">
        <v>208</v>
      </c>
      <c r="L98" s="11" t="s">
        <v>469</v>
      </c>
      <c r="M98" s="9" t="s">
        <v>23</v>
      </c>
      <c r="N98" s="10" t="s">
        <v>23</v>
      </c>
    </row>
    <row r="99" spans="1:14" ht="14" x14ac:dyDescent="0.15">
      <c r="A99" s="4" t="s">
        <v>460</v>
      </c>
      <c r="B99" s="4" t="s">
        <v>470</v>
      </c>
      <c r="C99" s="5" t="s">
        <v>471</v>
      </c>
      <c r="D99" s="4" t="s">
        <v>95</v>
      </c>
      <c r="E99" s="4" t="s">
        <v>53</v>
      </c>
      <c r="F99" s="4" t="s">
        <v>463</v>
      </c>
      <c r="G99" s="4" t="s">
        <v>472</v>
      </c>
      <c r="H99" s="5" t="s">
        <v>113</v>
      </c>
      <c r="I99" s="6">
        <f>INT(VALUE(LEFT(Table2[[#This Row],[runtime_min]],FIND(" ",Table2[[#This Row],[runtime_min]])-1))/60)*100 + MOD(VALUE(LEFT(Table2[[#This Row],[runtime_min]],FIND(" ",Table2[[#This Row],[runtime_min]])-1)),60)</f>
        <v>50</v>
      </c>
      <c r="J99" s="4" t="s">
        <v>109</v>
      </c>
      <c r="K99" s="7" t="s">
        <v>473</v>
      </c>
      <c r="L99" s="11"/>
      <c r="M99" s="9" t="s">
        <v>23</v>
      </c>
      <c r="N99" s="10" t="s">
        <v>23</v>
      </c>
    </row>
    <row r="100" spans="1:14" ht="14" x14ac:dyDescent="0.15">
      <c r="A100" s="4" t="s">
        <v>460</v>
      </c>
      <c r="B100" s="4" t="s">
        <v>474</v>
      </c>
      <c r="C100" s="5" t="s">
        <v>475</v>
      </c>
      <c r="D100" s="4" t="s">
        <v>95</v>
      </c>
      <c r="E100" s="4" t="s">
        <v>53</v>
      </c>
      <c r="F100" s="4" t="s">
        <v>463</v>
      </c>
      <c r="G100" s="4" t="s">
        <v>472</v>
      </c>
      <c r="H100" s="5" t="s">
        <v>476</v>
      </c>
      <c r="I100" s="6">
        <f>INT(VALUE(LEFT(Table2[[#This Row],[runtime_min]],FIND(" ",Table2[[#This Row],[runtime_min]])-1))/60)*100 + MOD(VALUE(LEFT(Table2[[#This Row],[runtime_min]],FIND(" ",Table2[[#This Row],[runtime_min]])-1)),60)</f>
        <v>49</v>
      </c>
      <c r="J100" s="4" t="s">
        <v>114</v>
      </c>
      <c r="K100" s="7" t="s">
        <v>477</v>
      </c>
      <c r="L100" s="11"/>
      <c r="M100" s="9" t="s">
        <v>23</v>
      </c>
      <c r="N100" s="10" t="s">
        <v>23</v>
      </c>
    </row>
    <row r="101" spans="1:14" ht="14" x14ac:dyDescent="0.15">
      <c r="A101" s="4" t="s">
        <v>460</v>
      </c>
      <c r="B101" s="4" t="s">
        <v>478</v>
      </c>
      <c r="C101" s="5" t="s">
        <v>479</v>
      </c>
      <c r="D101" s="4" t="s">
        <v>95</v>
      </c>
      <c r="E101" s="4" t="s">
        <v>53</v>
      </c>
      <c r="F101" s="4" t="s">
        <v>463</v>
      </c>
      <c r="G101" s="4" t="s">
        <v>480</v>
      </c>
      <c r="H101" s="5" t="s">
        <v>476</v>
      </c>
      <c r="I101" s="6">
        <f>INT(VALUE(LEFT(Table2[[#This Row],[runtime_min]],FIND(" ",Table2[[#This Row],[runtime_min]])-1))/60)*100 + MOD(VALUE(LEFT(Table2[[#This Row],[runtime_min]],FIND(" ",Table2[[#This Row],[runtime_min]])-1)),60)</f>
        <v>49</v>
      </c>
      <c r="J101" s="4" t="s">
        <v>336</v>
      </c>
      <c r="K101" s="7" t="s">
        <v>481</v>
      </c>
      <c r="L101" s="11" t="s">
        <v>482</v>
      </c>
      <c r="M101" s="9" t="s">
        <v>23</v>
      </c>
      <c r="N101" s="10" t="s">
        <v>23</v>
      </c>
    </row>
    <row r="102" spans="1:14" ht="28" x14ac:dyDescent="0.15">
      <c r="A102" s="4" t="s">
        <v>460</v>
      </c>
      <c r="B102" s="4" t="s">
        <v>483</v>
      </c>
      <c r="C102" s="5" t="s">
        <v>484</v>
      </c>
      <c r="D102" s="4" t="s">
        <v>95</v>
      </c>
      <c r="E102" s="4" t="s">
        <v>53</v>
      </c>
      <c r="F102" s="4" t="s">
        <v>205</v>
      </c>
      <c r="G102" s="4" t="s">
        <v>485</v>
      </c>
      <c r="H102" s="5" t="s">
        <v>476</v>
      </c>
      <c r="I102" s="6">
        <f>INT(VALUE(LEFT(Table2[[#This Row],[runtime_min]],FIND(" ",Table2[[#This Row],[runtime_min]])-1))/60)*100 + MOD(VALUE(LEFT(Table2[[#This Row],[runtime_min]],FIND(" ",Table2[[#This Row],[runtime_min]])-1)),60)</f>
        <v>49</v>
      </c>
      <c r="J102" s="4" t="s">
        <v>486</v>
      </c>
      <c r="K102" s="7" t="s">
        <v>487</v>
      </c>
      <c r="L102" s="11" t="s">
        <v>488</v>
      </c>
      <c r="M102" s="9" t="s">
        <v>23</v>
      </c>
      <c r="N102" s="10" t="s">
        <v>23</v>
      </c>
    </row>
    <row r="103" spans="1:14" ht="14" x14ac:dyDescent="0.15">
      <c r="A103" s="4" t="s">
        <v>460</v>
      </c>
      <c r="B103" s="4" t="s">
        <v>489</v>
      </c>
      <c r="C103" s="5" t="s">
        <v>490</v>
      </c>
      <c r="D103" s="4" t="s">
        <v>95</v>
      </c>
      <c r="E103" s="4" t="s">
        <v>53</v>
      </c>
      <c r="F103" s="4" t="s">
        <v>463</v>
      </c>
      <c r="G103" s="4" t="s">
        <v>491</v>
      </c>
      <c r="H103" s="5" t="s">
        <v>98</v>
      </c>
      <c r="I103" s="6">
        <f>INT(VALUE(LEFT(Table2[[#This Row],[runtime_min]],FIND(" ",Table2[[#This Row],[runtime_min]])-1))/60)*100 + MOD(VALUE(LEFT(Table2[[#This Row],[runtime_min]],FIND(" ",Table2[[#This Row],[runtime_min]])-1)),60)</f>
        <v>51</v>
      </c>
      <c r="J103" s="4" t="s">
        <v>123</v>
      </c>
      <c r="K103" s="7" t="s">
        <v>492</v>
      </c>
      <c r="L103" s="11"/>
      <c r="M103" s="9" t="s">
        <v>31</v>
      </c>
      <c r="N103" s="10" t="s">
        <v>23</v>
      </c>
    </row>
    <row r="104" spans="1:14" ht="14" x14ac:dyDescent="0.15">
      <c r="A104" s="4" t="s">
        <v>460</v>
      </c>
      <c r="B104" s="4" t="s">
        <v>493</v>
      </c>
      <c r="C104" s="5" t="s">
        <v>494</v>
      </c>
      <c r="D104" s="4" t="s">
        <v>95</v>
      </c>
      <c r="E104" s="4" t="s">
        <v>53</v>
      </c>
      <c r="F104" s="4" t="s">
        <v>463</v>
      </c>
      <c r="G104" s="4" t="s">
        <v>464</v>
      </c>
      <c r="H104" s="5" t="s">
        <v>98</v>
      </c>
      <c r="I104" s="6">
        <f>INT(VALUE(LEFT(Table2[[#This Row],[runtime_min]],FIND(" ",Table2[[#This Row],[runtime_min]])-1))/60)*100 + MOD(VALUE(LEFT(Table2[[#This Row],[runtime_min]],FIND(" ",Table2[[#This Row],[runtime_min]])-1)),60)</f>
        <v>51</v>
      </c>
      <c r="J104" s="4" t="s">
        <v>127</v>
      </c>
      <c r="K104" s="7" t="s">
        <v>495</v>
      </c>
      <c r="L104" s="11"/>
      <c r="M104" s="9" t="s">
        <v>31</v>
      </c>
      <c r="N104" s="10" t="s">
        <v>23</v>
      </c>
    </row>
    <row r="105" spans="1:14" ht="14" x14ac:dyDescent="0.15">
      <c r="A105" s="4" t="s">
        <v>460</v>
      </c>
      <c r="B105" s="4" t="s">
        <v>496</v>
      </c>
      <c r="C105" s="5" t="s">
        <v>497</v>
      </c>
      <c r="D105" s="4" t="s">
        <v>95</v>
      </c>
      <c r="E105" s="4" t="s">
        <v>53</v>
      </c>
      <c r="F105" s="4" t="s">
        <v>463</v>
      </c>
      <c r="G105" s="4" t="s">
        <v>498</v>
      </c>
      <c r="H105" s="5" t="s">
        <v>476</v>
      </c>
      <c r="I105" s="6">
        <f>INT(VALUE(LEFT(Table2[[#This Row],[runtime_min]],FIND(" ",Table2[[#This Row],[runtime_min]])-1))/60)*100 + MOD(VALUE(LEFT(Table2[[#This Row],[runtime_min]],FIND(" ",Table2[[#This Row],[runtime_min]])-1)),60)</f>
        <v>49</v>
      </c>
      <c r="J105" s="4" t="s">
        <v>119</v>
      </c>
      <c r="K105" s="7" t="s">
        <v>499</v>
      </c>
      <c r="L105" s="11"/>
      <c r="M105" s="9" t="s">
        <v>31</v>
      </c>
      <c r="N105" s="10" t="s">
        <v>23</v>
      </c>
    </row>
    <row r="106" spans="1:14" ht="14" x14ac:dyDescent="0.15">
      <c r="A106" s="4" t="s">
        <v>460</v>
      </c>
      <c r="B106" s="4" t="s">
        <v>500</v>
      </c>
      <c r="C106" s="5" t="s">
        <v>501</v>
      </c>
      <c r="D106" s="4" t="s">
        <v>95</v>
      </c>
      <c r="E106" s="4" t="s">
        <v>53</v>
      </c>
      <c r="F106" s="4" t="s">
        <v>205</v>
      </c>
      <c r="G106" s="4"/>
      <c r="H106" s="5" t="s">
        <v>113</v>
      </c>
      <c r="I106" s="6">
        <f>INT(VALUE(LEFT(Table2[[#This Row],[runtime_min]],FIND(" ",Table2[[#This Row],[runtime_min]])-1))/60)*100 + MOD(VALUE(LEFT(Table2[[#This Row],[runtime_min]],FIND(" ",Table2[[#This Row],[runtime_min]])-1)),60)</f>
        <v>50</v>
      </c>
      <c r="J106" s="4" t="s">
        <v>502</v>
      </c>
      <c r="K106" s="7" t="s">
        <v>503</v>
      </c>
      <c r="L106" s="11"/>
      <c r="M106" s="9" t="s">
        <v>31</v>
      </c>
      <c r="N106" s="10" t="s">
        <v>23</v>
      </c>
    </row>
    <row r="107" spans="1:14" ht="14" x14ac:dyDescent="0.15">
      <c r="A107" s="4" t="s">
        <v>460</v>
      </c>
      <c r="B107" s="4" t="s">
        <v>504</v>
      </c>
      <c r="C107" s="5" t="s">
        <v>505</v>
      </c>
      <c r="D107" s="4" t="s">
        <v>95</v>
      </c>
      <c r="E107" s="4" t="s">
        <v>53</v>
      </c>
      <c r="F107" s="4" t="s">
        <v>205</v>
      </c>
      <c r="G107" s="4"/>
      <c r="H107" s="5" t="s">
        <v>476</v>
      </c>
      <c r="I107" s="6">
        <f>INT(VALUE(LEFT(Table2[[#This Row],[runtime_min]],FIND(" ",Table2[[#This Row],[runtime_min]])-1))/60)*100 + MOD(VALUE(LEFT(Table2[[#This Row],[runtime_min]],FIND(" ",Table2[[#This Row],[runtime_min]])-1)),60)</f>
        <v>49</v>
      </c>
      <c r="J107" s="4" t="s">
        <v>506</v>
      </c>
      <c r="K107" s="7" t="s">
        <v>507</v>
      </c>
      <c r="L107" s="11"/>
      <c r="M107" s="9" t="s">
        <v>31</v>
      </c>
      <c r="N107" s="10" t="s">
        <v>23</v>
      </c>
    </row>
    <row r="108" spans="1:14" ht="14" x14ac:dyDescent="0.15">
      <c r="A108" s="4" t="s">
        <v>460</v>
      </c>
      <c r="B108" s="4" t="s">
        <v>508</v>
      </c>
      <c r="C108" s="5" t="s">
        <v>509</v>
      </c>
      <c r="D108" s="4" t="s">
        <v>95</v>
      </c>
      <c r="E108" s="4" t="s">
        <v>53</v>
      </c>
      <c r="F108" s="4" t="s">
        <v>205</v>
      </c>
      <c r="G108" s="4" t="s">
        <v>485</v>
      </c>
      <c r="H108" s="5" t="s">
        <v>476</v>
      </c>
      <c r="I108" s="6">
        <f>INT(VALUE(LEFT(Table2[[#This Row],[runtime_min]],FIND(" ",Table2[[#This Row],[runtime_min]])-1))/60)*100 + MOD(VALUE(LEFT(Table2[[#This Row],[runtime_min]],FIND(" ",Table2[[#This Row],[runtime_min]])-1)),60)</f>
        <v>49</v>
      </c>
      <c r="J108" s="4" t="s">
        <v>510</v>
      </c>
      <c r="K108" s="7" t="s">
        <v>511</v>
      </c>
      <c r="L108" s="11"/>
      <c r="M108" s="9" t="s">
        <v>31</v>
      </c>
      <c r="N108" s="10" t="s">
        <v>23</v>
      </c>
    </row>
    <row r="109" spans="1:14" ht="14" x14ac:dyDescent="0.15">
      <c r="A109" s="4" t="s">
        <v>512</v>
      </c>
      <c r="B109" s="4" t="s">
        <v>513</v>
      </c>
      <c r="C109" s="5" t="s">
        <v>514</v>
      </c>
      <c r="D109" s="4" t="s">
        <v>95</v>
      </c>
      <c r="E109" s="4" t="s">
        <v>515</v>
      </c>
      <c r="F109" s="4" t="s">
        <v>165</v>
      </c>
      <c r="G109" s="4" t="s">
        <v>516</v>
      </c>
      <c r="H109" s="5" t="s">
        <v>476</v>
      </c>
      <c r="I109" s="6">
        <f>INT(VALUE(LEFT(Table2[[#This Row],[runtime_min]],FIND(" ",Table2[[#This Row],[runtime_min]])-1))/60)*100 + MOD(VALUE(LEFT(Table2[[#This Row],[runtime_min]],FIND(" ",Table2[[#This Row],[runtime_min]])-1)),60)</f>
        <v>49</v>
      </c>
      <c r="J109" s="4" t="s">
        <v>99</v>
      </c>
      <c r="K109" s="7" t="s">
        <v>517</v>
      </c>
      <c r="L109" s="11"/>
      <c r="M109" s="9" t="s">
        <v>23</v>
      </c>
      <c r="N109" s="10" t="s">
        <v>23</v>
      </c>
    </row>
    <row r="110" spans="1:14" ht="14" x14ac:dyDescent="0.15">
      <c r="A110" s="4" t="s">
        <v>512</v>
      </c>
      <c r="B110" s="4" t="s">
        <v>518</v>
      </c>
      <c r="C110" s="5" t="s">
        <v>519</v>
      </c>
      <c r="D110" s="4" t="s">
        <v>95</v>
      </c>
      <c r="E110" s="4" t="s">
        <v>515</v>
      </c>
      <c r="F110" s="4" t="s">
        <v>165</v>
      </c>
      <c r="G110" s="4" t="s">
        <v>520</v>
      </c>
      <c r="H110" s="5" t="s">
        <v>521</v>
      </c>
      <c r="I110" s="6">
        <f>INT(VALUE(LEFT(Table2[[#This Row],[runtime_min]],FIND(" ",Table2[[#This Row],[runtime_min]])-1))/60)*100 + MOD(VALUE(LEFT(Table2[[#This Row],[runtime_min]],FIND(" ",Table2[[#This Row],[runtime_min]])-1)),60)</f>
        <v>48</v>
      </c>
      <c r="J110" s="4" t="s">
        <v>104</v>
      </c>
      <c r="K110" s="7" t="s">
        <v>522</v>
      </c>
      <c r="L110" s="11"/>
      <c r="M110" s="9" t="s">
        <v>23</v>
      </c>
      <c r="N110" s="10" t="s">
        <v>23</v>
      </c>
    </row>
    <row r="111" spans="1:14" ht="14" x14ac:dyDescent="0.15">
      <c r="A111" s="4" t="s">
        <v>512</v>
      </c>
      <c r="B111" s="4" t="s">
        <v>523</v>
      </c>
      <c r="C111" s="5" t="s">
        <v>524</v>
      </c>
      <c r="D111" s="4" t="s">
        <v>95</v>
      </c>
      <c r="E111" s="4" t="s">
        <v>515</v>
      </c>
      <c r="F111" s="4" t="s">
        <v>165</v>
      </c>
      <c r="G111" s="4" t="s">
        <v>516</v>
      </c>
      <c r="H111" s="5" t="s">
        <v>476</v>
      </c>
      <c r="I111" s="6">
        <f>INT(VALUE(LEFT(Table2[[#This Row],[runtime_min]],FIND(" ",Table2[[#This Row],[runtime_min]])-1))/60)*100 + MOD(VALUE(LEFT(Table2[[#This Row],[runtime_min]],FIND(" ",Table2[[#This Row],[runtime_min]])-1)),60)</f>
        <v>49</v>
      </c>
      <c r="J111" s="4" t="s">
        <v>340</v>
      </c>
      <c r="K111" s="7" t="s">
        <v>525</v>
      </c>
      <c r="L111" s="11"/>
      <c r="M111" s="9" t="s">
        <v>23</v>
      </c>
      <c r="N111" s="10" t="s">
        <v>23</v>
      </c>
    </row>
    <row r="112" spans="1:14" ht="14" x14ac:dyDescent="0.15">
      <c r="A112" s="4" t="s">
        <v>512</v>
      </c>
      <c r="B112" s="4" t="s">
        <v>526</v>
      </c>
      <c r="C112" s="5" t="s">
        <v>527</v>
      </c>
      <c r="D112" s="4" t="s">
        <v>95</v>
      </c>
      <c r="E112" s="4" t="s">
        <v>515</v>
      </c>
      <c r="F112" s="4" t="s">
        <v>165</v>
      </c>
      <c r="G112" s="4" t="s">
        <v>520</v>
      </c>
      <c r="H112" s="5" t="s">
        <v>476</v>
      </c>
      <c r="I112" s="6">
        <f>INT(VALUE(LEFT(Table2[[#This Row],[runtime_min]],FIND(" ",Table2[[#This Row],[runtime_min]])-1))/60)*100 + MOD(VALUE(LEFT(Table2[[#This Row],[runtime_min]],FIND(" ",Table2[[#This Row],[runtime_min]])-1)),60)</f>
        <v>49</v>
      </c>
      <c r="J112" s="4" t="s">
        <v>381</v>
      </c>
      <c r="K112" s="7" t="s">
        <v>528</v>
      </c>
      <c r="L112" s="11"/>
      <c r="M112" s="9" t="s">
        <v>23</v>
      </c>
      <c r="N112" s="10" t="s">
        <v>23</v>
      </c>
    </row>
    <row r="113" spans="1:14" ht="14" x14ac:dyDescent="0.15">
      <c r="A113" s="4" t="s">
        <v>512</v>
      </c>
      <c r="B113" s="4" t="s">
        <v>529</v>
      </c>
      <c r="C113" s="5" t="s">
        <v>530</v>
      </c>
      <c r="D113" s="4" t="s">
        <v>95</v>
      </c>
      <c r="E113" s="4" t="s">
        <v>515</v>
      </c>
      <c r="F113" s="4" t="s">
        <v>165</v>
      </c>
      <c r="G113" s="4" t="s">
        <v>520</v>
      </c>
      <c r="H113" s="5" t="s">
        <v>476</v>
      </c>
      <c r="I113" s="6">
        <f>INT(VALUE(LEFT(Table2[[#This Row],[runtime_min]],FIND(" ",Table2[[#This Row],[runtime_min]])-1))/60)*100 + MOD(VALUE(LEFT(Table2[[#This Row],[runtime_min]],FIND(" ",Table2[[#This Row],[runtime_min]])-1)),60)</f>
        <v>49</v>
      </c>
      <c r="J113" s="4" t="s">
        <v>109</v>
      </c>
      <c r="K113" s="7" t="s">
        <v>531</v>
      </c>
      <c r="L113" s="11"/>
      <c r="M113" s="9" t="s">
        <v>31</v>
      </c>
      <c r="N113" s="10" t="s">
        <v>23</v>
      </c>
    </row>
    <row r="114" spans="1:14" ht="14" x14ac:dyDescent="0.15">
      <c r="A114" s="4" t="s">
        <v>512</v>
      </c>
      <c r="B114" s="4" t="s">
        <v>532</v>
      </c>
      <c r="C114" s="5" t="s">
        <v>533</v>
      </c>
      <c r="D114" s="4" t="s">
        <v>95</v>
      </c>
      <c r="E114" s="4" t="s">
        <v>515</v>
      </c>
      <c r="F114" s="4" t="s">
        <v>165</v>
      </c>
      <c r="G114" s="4" t="s">
        <v>520</v>
      </c>
      <c r="H114" s="5" t="s">
        <v>476</v>
      </c>
      <c r="I114" s="6">
        <f>INT(VALUE(LEFT(Table2[[#This Row],[runtime_min]],FIND(" ",Table2[[#This Row],[runtime_min]])-1))/60)*100 + MOD(VALUE(LEFT(Table2[[#This Row],[runtime_min]],FIND(" ",Table2[[#This Row],[runtime_min]])-1)),60)</f>
        <v>49</v>
      </c>
      <c r="J114" s="4" t="s">
        <v>127</v>
      </c>
      <c r="K114" s="7" t="s">
        <v>534</v>
      </c>
      <c r="L114" s="11"/>
      <c r="M114" s="9" t="s">
        <v>31</v>
      </c>
      <c r="N114" s="10" t="s">
        <v>23</v>
      </c>
    </row>
    <row r="115" spans="1:14" ht="14" x14ac:dyDescent="0.15">
      <c r="A115" s="4" t="s">
        <v>512</v>
      </c>
      <c r="B115" s="4" t="s">
        <v>535</v>
      </c>
      <c r="C115" s="5" t="s">
        <v>536</v>
      </c>
      <c r="D115" s="4" t="s">
        <v>95</v>
      </c>
      <c r="E115" s="4" t="s">
        <v>515</v>
      </c>
      <c r="F115" s="4" t="s">
        <v>165</v>
      </c>
      <c r="G115" s="4" t="s">
        <v>520</v>
      </c>
      <c r="H115" s="5" t="s">
        <v>476</v>
      </c>
      <c r="I115" s="6">
        <f>INT(VALUE(LEFT(Table2[[#This Row],[runtime_min]],FIND(" ",Table2[[#This Row],[runtime_min]])-1))/60)*100 + MOD(VALUE(LEFT(Table2[[#This Row],[runtime_min]],FIND(" ",Table2[[#This Row],[runtime_min]])-1)),60)</f>
        <v>49</v>
      </c>
      <c r="J115" s="4" t="s">
        <v>114</v>
      </c>
      <c r="K115" s="7" t="s">
        <v>537</v>
      </c>
      <c r="L115" s="11" t="s">
        <v>22</v>
      </c>
      <c r="M115" s="9" t="s">
        <v>31</v>
      </c>
      <c r="N115" s="10" t="s">
        <v>23</v>
      </c>
    </row>
    <row r="116" spans="1:14" ht="14" x14ac:dyDescent="0.15">
      <c r="A116" s="4" t="s">
        <v>512</v>
      </c>
      <c r="B116" s="4" t="s">
        <v>538</v>
      </c>
      <c r="C116" s="5" t="s">
        <v>539</v>
      </c>
      <c r="D116" s="4" t="s">
        <v>95</v>
      </c>
      <c r="E116" s="4" t="s">
        <v>515</v>
      </c>
      <c r="F116" s="4" t="s">
        <v>165</v>
      </c>
      <c r="G116" s="4" t="s">
        <v>520</v>
      </c>
      <c r="H116" s="5" t="s">
        <v>476</v>
      </c>
      <c r="I116" s="6">
        <f>INT(VALUE(LEFT(Table2[[#This Row],[runtime_min]],FIND(" ",Table2[[#This Row],[runtime_min]])-1))/60)*100 + MOD(VALUE(LEFT(Table2[[#This Row],[runtime_min]],FIND(" ",Table2[[#This Row],[runtime_min]])-1)),60)</f>
        <v>49</v>
      </c>
      <c r="J116" s="4" t="s">
        <v>123</v>
      </c>
      <c r="K116" s="7" t="s">
        <v>499</v>
      </c>
      <c r="L116" s="11"/>
      <c r="M116" s="9" t="s">
        <v>31</v>
      </c>
      <c r="N116" s="10" t="s">
        <v>23</v>
      </c>
    </row>
    <row r="117" spans="1:14" ht="14" x14ac:dyDescent="0.15">
      <c r="A117" s="4" t="s">
        <v>512</v>
      </c>
      <c r="B117" s="4" t="s">
        <v>540</v>
      </c>
      <c r="C117" s="5" t="s">
        <v>541</v>
      </c>
      <c r="D117" s="4" t="s">
        <v>95</v>
      </c>
      <c r="E117" s="4" t="s">
        <v>515</v>
      </c>
      <c r="F117" s="4" t="s">
        <v>165</v>
      </c>
      <c r="G117" s="4" t="s">
        <v>520</v>
      </c>
      <c r="H117" s="5" t="s">
        <v>476</v>
      </c>
      <c r="I117" s="6">
        <f>INT(VALUE(LEFT(Table2[[#This Row],[runtime_min]],FIND(" ",Table2[[#This Row],[runtime_min]])-1))/60)*100 + MOD(VALUE(LEFT(Table2[[#This Row],[runtime_min]],FIND(" ",Table2[[#This Row],[runtime_min]])-1)),60)</f>
        <v>49</v>
      </c>
      <c r="J117" s="4" t="s">
        <v>119</v>
      </c>
      <c r="K117" s="7" t="s">
        <v>542</v>
      </c>
      <c r="L117" s="11"/>
      <c r="M117" s="9" t="s">
        <v>31</v>
      </c>
      <c r="N117" s="10" t="s">
        <v>23</v>
      </c>
    </row>
    <row r="118" spans="1:14" ht="14" x14ac:dyDescent="0.15">
      <c r="A118" s="4" t="s">
        <v>512</v>
      </c>
      <c r="B118" s="4" t="s">
        <v>543</v>
      </c>
      <c r="C118" s="5" t="s">
        <v>544</v>
      </c>
      <c r="D118" s="4" t="s">
        <v>95</v>
      </c>
      <c r="E118" s="4" t="s">
        <v>515</v>
      </c>
      <c r="F118" s="4" t="s">
        <v>165</v>
      </c>
      <c r="G118" s="4" t="s">
        <v>520</v>
      </c>
      <c r="H118" s="5" t="s">
        <v>476</v>
      </c>
      <c r="I118" s="6">
        <f>INT(VALUE(LEFT(Table2[[#This Row],[runtime_min]],FIND(" ",Table2[[#This Row],[runtime_min]])-1))/60)*100 + MOD(VALUE(LEFT(Table2[[#This Row],[runtime_min]],FIND(" ",Table2[[#This Row],[runtime_min]])-1)),60)</f>
        <v>49</v>
      </c>
      <c r="J118" s="4" t="s">
        <v>336</v>
      </c>
      <c r="K118" s="7" t="s">
        <v>492</v>
      </c>
      <c r="L118" s="11"/>
      <c r="M118" s="9" t="s">
        <v>31</v>
      </c>
      <c r="N118" s="10" t="s">
        <v>23</v>
      </c>
    </row>
    <row r="119" spans="1:14" ht="14" x14ac:dyDescent="0.15">
      <c r="A119" s="4" t="s">
        <v>512</v>
      </c>
      <c r="B119" s="4" t="s">
        <v>545</v>
      </c>
      <c r="C119" s="5" t="s">
        <v>546</v>
      </c>
      <c r="D119" s="4" t="s">
        <v>95</v>
      </c>
      <c r="E119" s="4" t="s">
        <v>515</v>
      </c>
      <c r="F119" s="4" t="s">
        <v>165</v>
      </c>
      <c r="G119" s="4" t="s">
        <v>520</v>
      </c>
      <c r="H119" s="5" t="s">
        <v>476</v>
      </c>
      <c r="I119" s="6">
        <f>INT(VALUE(LEFT(Table2[[#This Row],[runtime_min]],FIND(" ",Table2[[#This Row],[runtime_min]])-1))/60)*100 + MOD(VALUE(LEFT(Table2[[#This Row],[runtime_min]],FIND(" ",Table2[[#This Row],[runtime_min]])-1)),60)</f>
        <v>49</v>
      </c>
      <c r="J119" s="4" t="s">
        <v>309</v>
      </c>
      <c r="K119" s="7" t="s">
        <v>547</v>
      </c>
      <c r="L119" s="11"/>
      <c r="M119" s="9" t="s">
        <v>31</v>
      </c>
      <c r="N119" s="10" t="s">
        <v>23</v>
      </c>
    </row>
    <row r="120" spans="1:14" ht="14" x14ac:dyDescent="0.15">
      <c r="A120" s="4" t="s">
        <v>548</v>
      </c>
      <c r="B120" s="4" t="s">
        <v>549</v>
      </c>
      <c r="C120" s="5" t="s">
        <v>550</v>
      </c>
      <c r="D120" s="4" t="s">
        <v>95</v>
      </c>
      <c r="E120" s="4" t="s">
        <v>551</v>
      </c>
      <c r="F120" s="4" t="s">
        <v>36</v>
      </c>
      <c r="G120" s="4" t="s">
        <v>552</v>
      </c>
      <c r="H120" s="5" t="s">
        <v>476</v>
      </c>
      <c r="I120" s="6">
        <f>INT(VALUE(LEFT(Table2[[#This Row],[runtime_min]],FIND(" ",Table2[[#This Row],[runtime_min]])-1))/60)*100 + MOD(VALUE(LEFT(Table2[[#This Row],[runtime_min]],FIND(" ",Table2[[#This Row],[runtime_min]])-1)),60)</f>
        <v>49</v>
      </c>
      <c r="J120" s="4" t="s">
        <v>109</v>
      </c>
      <c r="K120" s="7" t="s">
        <v>534</v>
      </c>
      <c r="L120" s="11" t="s">
        <v>22</v>
      </c>
      <c r="M120" s="9" t="s">
        <v>23</v>
      </c>
      <c r="N120" s="10" t="s">
        <v>23</v>
      </c>
    </row>
    <row r="121" spans="1:14" ht="14" x14ac:dyDescent="0.15">
      <c r="A121" s="4" t="s">
        <v>548</v>
      </c>
      <c r="B121" s="4" t="s">
        <v>553</v>
      </c>
      <c r="C121" s="5" t="s">
        <v>554</v>
      </c>
      <c r="D121" s="4" t="s">
        <v>95</v>
      </c>
      <c r="E121" s="4" t="s">
        <v>555</v>
      </c>
      <c r="F121" s="4" t="s">
        <v>84</v>
      </c>
      <c r="G121" s="4" t="s">
        <v>556</v>
      </c>
      <c r="H121" s="5" t="s">
        <v>476</v>
      </c>
      <c r="I121" s="6">
        <f>INT(VALUE(LEFT(Table2[[#This Row],[runtime_min]],FIND(" ",Table2[[#This Row],[runtime_min]])-1))/60)*100 + MOD(VALUE(LEFT(Table2[[#This Row],[runtime_min]],FIND(" ",Table2[[#This Row],[runtime_min]])-1)),60)</f>
        <v>49</v>
      </c>
      <c r="J121" s="4" t="s">
        <v>114</v>
      </c>
      <c r="K121" s="7" t="s">
        <v>557</v>
      </c>
      <c r="L121" s="11"/>
      <c r="M121" s="9" t="s">
        <v>31</v>
      </c>
      <c r="N121" s="10" t="s">
        <v>23</v>
      </c>
    </row>
    <row r="122" spans="1:14" ht="14" x14ac:dyDescent="0.15">
      <c r="A122" s="4" t="s">
        <v>548</v>
      </c>
      <c r="B122" s="4" t="s">
        <v>558</v>
      </c>
      <c r="C122" s="5" t="s">
        <v>559</v>
      </c>
      <c r="D122" s="4" t="s">
        <v>95</v>
      </c>
      <c r="E122" s="4" t="s">
        <v>551</v>
      </c>
      <c r="F122" s="4" t="s">
        <v>36</v>
      </c>
      <c r="G122" s="4" t="s">
        <v>560</v>
      </c>
      <c r="H122" s="5" t="s">
        <v>98</v>
      </c>
      <c r="I122" s="6">
        <f>INT(VALUE(LEFT(Table2[[#This Row],[runtime_min]],FIND(" ",Table2[[#This Row],[runtime_min]])-1))/60)*100 + MOD(VALUE(LEFT(Table2[[#This Row],[runtime_min]],FIND(" ",Table2[[#This Row],[runtime_min]])-1)),60)</f>
        <v>51</v>
      </c>
      <c r="J122" s="4" t="s">
        <v>99</v>
      </c>
      <c r="K122" s="7" t="s">
        <v>561</v>
      </c>
      <c r="L122" s="11"/>
      <c r="M122" s="9" t="s">
        <v>31</v>
      </c>
      <c r="N122" s="10" t="s">
        <v>23</v>
      </c>
    </row>
    <row r="123" spans="1:14" ht="14" x14ac:dyDescent="0.15">
      <c r="A123" s="4" t="s">
        <v>548</v>
      </c>
      <c r="B123" s="4" t="s">
        <v>562</v>
      </c>
      <c r="C123" s="5" t="s">
        <v>563</v>
      </c>
      <c r="D123" s="4" t="s">
        <v>95</v>
      </c>
      <c r="E123" s="4" t="s">
        <v>551</v>
      </c>
      <c r="F123" s="4" t="s">
        <v>36</v>
      </c>
      <c r="G123" s="4" t="s">
        <v>564</v>
      </c>
      <c r="H123" s="5" t="s">
        <v>476</v>
      </c>
      <c r="I123" s="6">
        <f>INT(VALUE(LEFT(Table2[[#This Row],[runtime_min]],FIND(" ",Table2[[#This Row],[runtime_min]])-1))/60)*100 + MOD(VALUE(LEFT(Table2[[#This Row],[runtime_min]],FIND(" ",Table2[[#This Row],[runtime_min]])-1)),60)</f>
        <v>49</v>
      </c>
      <c r="J123" s="4" t="s">
        <v>104</v>
      </c>
      <c r="K123" s="7" t="s">
        <v>522</v>
      </c>
      <c r="L123" s="11"/>
      <c r="M123" s="9" t="s">
        <v>31</v>
      </c>
      <c r="N123" s="10" t="s">
        <v>23</v>
      </c>
    </row>
    <row r="124" spans="1:14" ht="14" x14ac:dyDescent="0.15">
      <c r="A124" s="4" t="s">
        <v>548</v>
      </c>
      <c r="B124" s="4" t="s">
        <v>565</v>
      </c>
      <c r="C124" s="5" t="s">
        <v>566</v>
      </c>
      <c r="D124" s="4" t="s">
        <v>95</v>
      </c>
      <c r="E124" s="4" t="s">
        <v>551</v>
      </c>
      <c r="F124" s="4" t="s">
        <v>36</v>
      </c>
      <c r="G124" s="4" t="s">
        <v>567</v>
      </c>
      <c r="H124" s="5" t="s">
        <v>113</v>
      </c>
      <c r="I124" s="6">
        <f>INT(VALUE(LEFT(Table2[[#This Row],[runtime_min]],FIND(" ",Table2[[#This Row],[runtime_min]])-1))/60)*100 + MOD(VALUE(LEFT(Table2[[#This Row],[runtime_min]],FIND(" ",Table2[[#This Row],[runtime_min]])-1)),60)</f>
        <v>50</v>
      </c>
      <c r="J124" s="4" t="s">
        <v>123</v>
      </c>
      <c r="K124" s="7" t="s">
        <v>492</v>
      </c>
      <c r="L124" s="11"/>
      <c r="M124" s="9" t="s">
        <v>31</v>
      </c>
      <c r="N124" s="10" t="s">
        <v>23</v>
      </c>
    </row>
    <row r="125" spans="1:14" ht="14" x14ac:dyDescent="0.15">
      <c r="A125" s="4" t="s">
        <v>548</v>
      </c>
      <c r="B125" s="4" t="s">
        <v>568</v>
      </c>
      <c r="C125" s="5" t="s">
        <v>569</v>
      </c>
      <c r="D125" s="4" t="s">
        <v>95</v>
      </c>
      <c r="E125" s="4" t="s">
        <v>551</v>
      </c>
      <c r="F125" s="4" t="s">
        <v>36</v>
      </c>
      <c r="G125" s="4" t="s">
        <v>570</v>
      </c>
      <c r="H125" s="5" t="s">
        <v>476</v>
      </c>
      <c r="I125" s="6">
        <f>INT(VALUE(LEFT(Table2[[#This Row],[runtime_min]],FIND(" ",Table2[[#This Row],[runtime_min]])-1))/60)*100 + MOD(VALUE(LEFT(Table2[[#This Row],[runtime_min]],FIND(" ",Table2[[#This Row],[runtime_min]])-1)),60)</f>
        <v>49</v>
      </c>
      <c r="J125" s="4" t="s">
        <v>127</v>
      </c>
      <c r="K125" s="7" t="s">
        <v>571</v>
      </c>
      <c r="L125" s="11"/>
      <c r="M125" s="9" t="s">
        <v>31</v>
      </c>
      <c r="N125" s="10" t="s">
        <v>23</v>
      </c>
    </row>
    <row r="126" spans="1:14" ht="14" x14ac:dyDescent="0.15">
      <c r="A126" s="4" t="s">
        <v>572</v>
      </c>
      <c r="B126" s="4" t="s">
        <v>573</v>
      </c>
      <c r="C126" s="5" t="s">
        <v>574</v>
      </c>
      <c r="D126" s="4" t="s">
        <v>95</v>
      </c>
      <c r="E126" s="4" t="s">
        <v>551</v>
      </c>
      <c r="F126" s="4" t="s">
        <v>205</v>
      </c>
      <c r="G126" s="4"/>
      <c r="H126" s="5" t="s">
        <v>187</v>
      </c>
      <c r="I126" s="6">
        <f>INT(VALUE(LEFT(Table2[[#This Row],[runtime_min]],FIND(" ",Table2[[#This Row],[runtime_min]])-1))/60)*100 + MOD(VALUE(LEFT(Table2[[#This Row],[runtime_min]],FIND(" ",Table2[[#This Row],[runtime_min]])-1)),60)</f>
        <v>59</v>
      </c>
      <c r="J126" s="4" t="s">
        <v>99</v>
      </c>
      <c r="K126" s="7" t="s">
        <v>115</v>
      </c>
      <c r="L126" s="11" t="s">
        <v>575</v>
      </c>
      <c r="M126" s="9" t="s">
        <v>23</v>
      </c>
      <c r="N126" s="10" t="s">
        <v>23</v>
      </c>
    </row>
    <row r="127" spans="1:14" ht="14" x14ac:dyDescent="0.15">
      <c r="A127" s="4" t="s">
        <v>572</v>
      </c>
      <c r="B127" s="4" t="s">
        <v>576</v>
      </c>
      <c r="C127" s="5" t="s">
        <v>577</v>
      </c>
      <c r="D127" s="4" t="s">
        <v>95</v>
      </c>
      <c r="E127" s="4" t="s">
        <v>551</v>
      </c>
      <c r="F127" s="4" t="s">
        <v>205</v>
      </c>
      <c r="G127" s="4"/>
      <c r="H127" s="5" t="s">
        <v>179</v>
      </c>
      <c r="I127" s="6">
        <f>INT(VALUE(LEFT(Table2[[#This Row],[runtime_min]],FIND(" ",Table2[[#This Row],[runtime_min]])-1))/60)*100 + MOD(VALUE(LEFT(Table2[[#This Row],[runtime_min]],FIND(" ",Table2[[#This Row],[runtime_min]])-1)),60)</f>
        <v>58</v>
      </c>
      <c r="J127" s="4" t="s">
        <v>123</v>
      </c>
      <c r="K127" s="7" t="s">
        <v>578</v>
      </c>
      <c r="L127" s="11" t="s">
        <v>22</v>
      </c>
      <c r="M127" s="9" t="s">
        <v>23</v>
      </c>
      <c r="N127" s="10" t="s">
        <v>23</v>
      </c>
    </row>
    <row r="128" spans="1:14" ht="14" x14ac:dyDescent="0.15">
      <c r="A128" s="4" t="s">
        <v>572</v>
      </c>
      <c r="B128" s="4" t="s">
        <v>579</v>
      </c>
      <c r="C128" s="5" t="s">
        <v>580</v>
      </c>
      <c r="D128" s="4" t="s">
        <v>95</v>
      </c>
      <c r="E128" s="4" t="s">
        <v>551</v>
      </c>
      <c r="F128" s="4" t="s">
        <v>205</v>
      </c>
      <c r="G128" s="4"/>
      <c r="H128" s="5" t="s">
        <v>179</v>
      </c>
      <c r="I128" s="6">
        <f>INT(VALUE(LEFT(Table2[[#This Row],[runtime_min]],FIND(" ",Table2[[#This Row],[runtime_min]])-1))/60)*100 + MOD(VALUE(LEFT(Table2[[#This Row],[runtime_min]],FIND(" ",Table2[[#This Row],[runtime_min]])-1)),60)</f>
        <v>58</v>
      </c>
      <c r="J128" s="4" t="s">
        <v>104</v>
      </c>
      <c r="K128" s="7" t="s">
        <v>581</v>
      </c>
      <c r="L128" s="11" t="s">
        <v>442</v>
      </c>
      <c r="M128" s="9" t="s">
        <v>23</v>
      </c>
      <c r="N128" s="10" t="s">
        <v>23</v>
      </c>
    </row>
    <row r="129" spans="1:14" ht="14" x14ac:dyDescent="0.15">
      <c r="A129" s="4" t="s">
        <v>572</v>
      </c>
      <c r="B129" s="4" t="s">
        <v>582</v>
      </c>
      <c r="C129" s="5" t="s">
        <v>583</v>
      </c>
      <c r="D129" s="4" t="s">
        <v>95</v>
      </c>
      <c r="E129" s="4" t="s">
        <v>551</v>
      </c>
      <c r="F129" s="4" t="s">
        <v>205</v>
      </c>
      <c r="G129" s="4"/>
      <c r="H129" s="5" t="s">
        <v>179</v>
      </c>
      <c r="I129" s="6">
        <f>INT(VALUE(LEFT(Table2[[#This Row],[runtime_min]],FIND(" ",Table2[[#This Row],[runtime_min]])-1))/60)*100 + MOD(VALUE(LEFT(Table2[[#This Row],[runtime_min]],FIND(" ",Table2[[#This Row],[runtime_min]])-1)),60)</f>
        <v>58</v>
      </c>
      <c r="J129" s="4" t="s">
        <v>109</v>
      </c>
      <c r="K129" s="7" t="s">
        <v>584</v>
      </c>
      <c r="L129" s="11" t="s">
        <v>585</v>
      </c>
      <c r="M129" s="9" t="s">
        <v>23</v>
      </c>
      <c r="N129" s="10" t="s">
        <v>23</v>
      </c>
    </row>
    <row r="130" spans="1:14" ht="14" x14ac:dyDescent="0.15">
      <c r="A130" s="4" t="s">
        <v>572</v>
      </c>
      <c r="B130" s="4" t="s">
        <v>586</v>
      </c>
      <c r="C130" s="5" t="s">
        <v>587</v>
      </c>
      <c r="D130" s="4" t="s">
        <v>95</v>
      </c>
      <c r="E130" s="4" t="s">
        <v>551</v>
      </c>
      <c r="F130" s="4" t="s">
        <v>205</v>
      </c>
      <c r="G130" s="4"/>
      <c r="H130" s="5" t="s">
        <v>187</v>
      </c>
      <c r="I130" s="6">
        <f>INT(VALUE(LEFT(Table2[[#This Row],[runtime_min]],FIND(" ",Table2[[#This Row],[runtime_min]])-1))/60)*100 + MOD(VALUE(LEFT(Table2[[#This Row],[runtime_min]],FIND(" ",Table2[[#This Row],[runtime_min]])-1)),60)</f>
        <v>59</v>
      </c>
      <c r="J130" s="4" t="s">
        <v>114</v>
      </c>
      <c r="K130" s="7" t="s">
        <v>588</v>
      </c>
      <c r="L130" s="11"/>
      <c r="M130" s="9" t="s">
        <v>31</v>
      </c>
      <c r="N130" s="10" t="s">
        <v>23</v>
      </c>
    </row>
    <row r="131" spans="1:14" ht="14" x14ac:dyDescent="0.15">
      <c r="A131" s="4" t="s">
        <v>572</v>
      </c>
      <c r="B131" s="4" t="s">
        <v>589</v>
      </c>
      <c r="C131" s="5" t="s">
        <v>590</v>
      </c>
      <c r="D131" s="4" t="s">
        <v>95</v>
      </c>
      <c r="E131" s="4" t="s">
        <v>551</v>
      </c>
      <c r="F131" s="4" t="s">
        <v>205</v>
      </c>
      <c r="G131" s="4"/>
      <c r="H131" s="5" t="s">
        <v>179</v>
      </c>
      <c r="I131" s="6">
        <f>INT(VALUE(LEFT(Table2[[#This Row],[runtime_min]],FIND(" ",Table2[[#This Row],[runtime_min]])-1))/60)*100 + MOD(VALUE(LEFT(Table2[[#This Row],[runtime_min]],FIND(" ",Table2[[#This Row],[runtime_min]])-1)),60)</f>
        <v>58</v>
      </c>
      <c r="J131" s="4" t="s">
        <v>119</v>
      </c>
      <c r="K131" s="7" t="s">
        <v>591</v>
      </c>
      <c r="L131" s="11"/>
      <c r="M131" s="9" t="s">
        <v>31</v>
      </c>
      <c r="N131" s="10" t="s">
        <v>23</v>
      </c>
    </row>
    <row r="132" spans="1:14" ht="14" x14ac:dyDescent="0.15">
      <c r="A132" s="4" t="s">
        <v>572</v>
      </c>
      <c r="B132" s="4" t="s">
        <v>592</v>
      </c>
      <c r="C132" s="5" t="s">
        <v>593</v>
      </c>
      <c r="D132" s="4" t="s">
        <v>95</v>
      </c>
      <c r="E132" s="4" t="s">
        <v>551</v>
      </c>
      <c r="F132" s="4" t="s">
        <v>205</v>
      </c>
      <c r="G132" s="4"/>
      <c r="H132" s="5" t="s">
        <v>179</v>
      </c>
      <c r="I132" s="6">
        <f>INT(VALUE(LEFT(Table2[[#This Row],[runtime_min]],FIND(" ",Table2[[#This Row],[runtime_min]])-1))/60)*100 + MOD(VALUE(LEFT(Table2[[#This Row],[runtime_min]],FIND(" ",Table2[[#This Row],[runtime_min]])-1)),60)</f>
        <v>58</v>
      </c>
      <c r="J132" s="4" t="s">
        <v>336</v>
      </c>
      <c r="K132" s="7" t="s">
        <v>594</v>
      </c>
      <c r="L132" s="11"/>
      <c r="M132" s="9" t="s">
        <v>31</v>
      </c>
      <c r="N132" s="10" t="s">
        <v>23</v>
      </c>
    </row>
    <row r="133" spans="1:14" ht="14" x14ac:dyDescent="0.15">
      <c r="A133" s="4" t="s">
        <v>572</v>
      </c>
      <c r="B133" s="4" t="s">
        <v>595</v>
      </c>
      <c r="C133" s="5" t="s">
        <v>596</v>
      </c>
      <c r="D133" s="4" t="s">
        <v>95</v>
      </c>
      <c r="E133" s="4" t="s">
        <v>551</v>
      </c>
      <c r="F133" s="4" t="s">
        <v>205</v>
      </c>
      <c r="G133" s="10"/>
      <c r="H133" s="5" t="s">
        <v>275</v>
      </c>
      <c r="I133" s="6">
        <f>INT(VALUE(LEFT(Table2[[#This Row],[runtime_min]],FIND(" ",Table2[[#This Row],[runtime_min]])-1))/60)*100 + MOD(VALUE(LEFT(Table2[[#This Row],[runtime_min]],FIND(" ",Table2[[#This Row],[runtime_min]])-1)),60)</f>
        <v>100</v>
      </c>
      <c r="J133" s="4" t="s">
        <v>127</v>
      </c>
      <c r="K133" s="7" t="s">
        <v>481</v>
      </c>
      <c r="L133" s="11"/>
      <c r="M133" s="9" t="s">
        <v>31</v>
      </c>
      <c r="N133" s="10" t="s">
        <v>23</v>
      </c>
    </row>
    <row r="134" spans="1:14" ht="14" x14ac:dyDescent="0.15">
      <c r="A134" s="4" t="s">
        <v>597</v>
      </c>
      <c r="B134" s="4" t="s">
        <v>598</v>
      </c>
      <c r="C134" s="5" t="s">
        <v>599</v>
      </c>
      <c r="D134" s="4" t="s">
        <v>95</v>
      </c>
      <c r="E134" s="4" t="s">
        <v>204</v>
      </c>
      <c r="F134" s="4" t="s">
        <v>47</v>
      </c>
      <c r="G134" s="4" t="s">
        <v>600</v>
      </c>
      <c r="H134" s="5" t="s">
        <v>187</v>
      </c>
      <c r="I134" s="6">
        <f>INT(VALUE(LEFT(Table2[[#This Row],[runtime_min]],FIND(" ",Table2[[#This Row],[runtime_min]])-1))/60)*100 + MOD(VALUE(LEFT(Table2[[#This Row],[runtime_min]],FIND(" ",Table2[[#This Row],[runtime_min]])-1)),60)</f>
        <v>59</v>
      </c>
      <c r="J134" s="4" t="s">
        <v>99</v>
      </c>
      <c r="K134" s="7" t="s">
        <v>601</v>
      </c>
      <c r="L134" s="11"/>
      <c r="M134" s="9" t="s">
        <v>31</v>
      </c>
      <c r="N134" s="10" t="s">
        <v>23</v>
      </c>
    </row>
    <row r="135" spans="1:14" ht="14" x14ac:dyDescent="0.15">
      <c r="A135" s="4" t="s">
        <v>597</v>
      </c>
      <c r="B135" s="4" t="s">
        <v>602</v>
      </c>
      <c r="C135" s="5" t="s">
        <v>603</v>
      </c>
      <c r="D135" s="4" t="s">
        <v>95</v>
      </c>
      <c r="E135" s="4" t="s">
        <v>204</v>
      </c>
      <c r="F135" s="4" t="s">
        <v>47</v>
      </c>
      <c r="G135" s="4"/>
      <c r="H135" s="5" t="s">
        <v>187</v>
      </c>
      <c r="I135" s="6">
        <f>INT(VALUE(LEFT(Table2[[#This Row],[runtime_min]],FIND(" ",Table2[[#This Row],[runtime_min]])-1))/60)*100 + MOD(VALUE(LEFT(Table2[[#This Row],[runtime_min]],FIND(" ",Table2[[#This Row],[runtime_min]])-1)),60)</f>
        <v>59</v>
      </c>
      <c r="J135" s="4" t="s">
        <v>104</v>
      </c>
      <c r="K135" s="7" t="s">
        <v>604</v>
      </c>
      <c r="L135" s="11"/>
      <c r="M135" s="9" t="s">
        <v>31</v>
      </c>
      <c r="N135" s="10" t="s">
        <v>23</v>
      </c>
    </row>
    <row r="136" spans="1:14" ht="14" x14ac:dyDescent="0.15">
      <c r="A136" s="4" t="s">
        <v>597</v>
      </c>
      <c r="B136" s="4" t="s">
        <v>605</v>
      </c>
      <c r="C136" s="5" t="s">
        <v>606</v>
      </c>
      <c r="D136" s="4" t="s">
        <v>95</v>
      </c>
      <c r="E136" s="4" t="s">
        <v>204</v>
      </c>
      <c r="F136" s="4" t="s">
        <v>47</v>
      </c>
      <c r="G136" s="4"/>
      <c r="H136" s="5" t="s">
        <v>187</v>
      </c>
      <c r="I136" s="6">
        <f>INT(VALUE(LEFT(Table2[[#This Row],[runtime_min]],FIND(" ",Table2[[#This Row],[runtime_min]])-1))/60)*100 + MOD(VALUE(LEFT(Table2[[#This Row],[runtime_min]],FIND(" ",Table2[[#This Row],[runtime_min]])-1)),60)</f>
        <v>59</v>
      </c>
      <c r="J136" s="4" t="s">
        <v>123</v>
      </c>
      <c r="K136" s="7" t="s">
        <v>607</v>
      </c>
      <c r="L136" s="11"/>
      <c r="M136" s="9" t="s">
        <v>31</v>
      </c>
      <c r="N136" s="10" t="s">
        <v>23</v>
      </c>
    </row>
    <row r="137" spans="1:14" ht="28" x14ac:dyDescent="0.15">
      <c r="A137" s="4" t="s">
        <v>608</v>
      </c>
      <c r="B137" s="4" t="s">
        <v>609</v>
      </c>
      <c r="C137" s="5" t="s">
        <v>610</v>
      </c>
      <c r="D137" s="4" t="s">
        <v>27</v>
      </c>
      <c r="E137" s="4" t="s">
        <v>457</v>
      </c>
      <c r="F137" s="4" t="s">
        <v>205</v>
      </c>
      <c r="G137" s="4" t="s">
        <v>611</v>
      </c>
      <c r="H137" s="5" t="s">
        <v>612</v>
      </c>
      <c r="I137" s="6">
        <f>INT(VALUE(LEFT(Table2[[#This Row],[runtime_min]],FIND(" ",Table2[[#This Row],[runtime_min]])-1))/60)*100 + MOD(VALUE(LEFT(Table2[[#This Row],[runtime_min]],FIND(" ",Table2[[#This Row],[runtime_min]])-1)),60)</f>
        <v>142</v>
      </c>
      <c r="J137" s="4"/>
      <c r="K137" s="7"/>
      <c r="L137" s="11" t="s">
        <v>613</v>
      </c>
      <c r="M137" s="9" t="s">
        <v>23</v>
      </c>
      <c r="N137" s="10" t="s">
        <v>23</v>
      </c>
    </row>
    <row r="138" spans="1:14" ht="14" x14ac:dyDescent="0.15">
      <c r="A138" s="4" t="s">
        <v>614</v>
      </c>
      <c r="B138" s="4" t="s">
        <v>615</v>
      </c>
      <c r="C138" s="5" t="s">
        <v>616</v>
      </c>
      <c r="D138" s="4" t="s">
        <v>95</v>
      </c>
      <c r="E138" s="4" t="s">
        <v>617</v>
      </c>
      <c r="F138" s="4" t="s">
        <v>463</v>
      </c>
      <c r="G138" s="4" t="s">
        <v>556</v>
      </c>
      <c r="H138" s="5" t="s">
        <v>187</v>
      </c>
      <c r="I138" s="6">
        <f>INT(VALUE(LEFT(Table2[[#This Row],[runtime_min]],FIND(" ",Table2[[#This Row],[runtime_min]])-1))/60)*100 + MOD(VALUE(LEFT(Table2[[#This Row],[runtime_min]],FIND(" ",Table2[[#This Row],[runtime_min]])-1)),60)</f>
        <v>59</v>
      </c>
      <c r="J138" s="4" t="s">
        <v>99</v>
      </c>
      <c r="K138" s="7" t="s">
        <v>618</v>
      </c>
      <c r="L138" s="11" t="s">
        <v>22</v>
      </c>
      <c r="M138" s="9" t="s">
        <v>23</v>
      </c>
      <c r="N138" s="10" t="s">
        <v>23</v>
      </c>
    </row>
    <row r="139" spans="1:14" ht="28" x14ac:dyDescent="0.15">
      <c r="A139" s="4" t="s">
        <v>614</v>
      </c>
      <c r="B139" s="4" t="s">
        <v>619</v>
      </c>
      <c r="C139" s="5" t="s">
        <v>620</v>
      </c>
      <c r="D139" s="4" t="s">
        <v>95</v>
      </c>
      <c r="E139" s="4" t="s">
        <v>617</v>
      </c>
      <c r="F139" s="4" t="s">
        <v>463</v>
      </c>
      <c r="G139" s="4" t="s">
        <v>570</v>
      </c>
      <c r="H139" s="5" t="s">
        <v>179</v>
      </c>
      <c r="I139" s="6">
        <f>INT(VALUE(LEFT(Table2[[#This Row],[runtime_min]],FIND(" ",Table2[[#This Row],[runtime_min]])-1))/60)*100 + MOD(VALUE(LEFT(Table2[[#This Row],[runtime_min]],FIND(" ",Table2[[#This Row],[runtime_min]])-1)),60)</f>
        <v>58</v>
      </c>
      <c r="J139" s="4" t="s">
        <v>123</v>
      </c>
      <c r="K139" s="7" t="s">
        <v>621</v>
      </c>
      <c r="L139" s="11" t="s">
        <v>622</v>
      </c>
      <c r="M139" s="9" t="s">
        <v>23</v>
      </c>
      <c r="N139" s="10" t="s">
        <v>23</v>
      </c>
    </row>
    <row r="140" spans="1:14" ht="14" x14ac:dyDescent="0.15">
      <c r="A140" s="4" t="s">
        <v>614</v>
      </c>
      <c r="B140" s="4" t="s">
        <v>623</v>
      </c>
      <c r="C140" s="5" t="s">
        <v>624</v>
      </c>
      <c r="D140" s="4" t="s">
        <v>95</v>
      </c>
      <c r="E140" s="4" t="s">
        <v>617</v>
      </c>
      <c r="F140" s="4" t="s">
        <v>463</v>
      </c>
      <c r="G140" s="4" t="s">
        <v>567</v>
      </c>
      <c r="H140" s="5" t="s">
        <v>187</v>
      </c>
      <c r="I140" s="6">
        <f>INT(VALUE(LEFT(Table2[[#This Row],[runtime_min]],FIND(" ",Table2[[#This Row],[runtime_min]])-1))/60)*100 + MOD(VALUE(LEFT(Table2[[#This Row],[runtime_min]],FIND(" ",Table2[[#This Row],[runtime_min]])-1)),60)</f>
        <v>59</v>
      </c>
      <c r="J140" s="4" t="s">
        <v>104</v>
      </c>
      <c r="K140" s="7" t="s">
        <v>625</v>
      </c>
      <c r="L140" s="11"/>
      <c r="M140" s="9" t="s">
        <v>31</v>
      </c>
      <c r="N140" s="10" t="s">
        <v>23</v>
      </c>
    </row>
    <row r="141" spans="1:14" ht="14" x14ac:dyDescent="0.15">
      <c r="A141" s="4" t="s">
        <v>614</v>
      </c>
      <c r="B141" s="4" t="s">
        <v>626</v>
      </c>
      <c r="C141" s="5" t="s">
        <v>627</v>
      </c>
      <c r="D141" s="4" t="s">
        <v>95</v>
      </c>
      <c r="E141" s="4" t="s">
        <v>617</v>
      </c>
      <c r="F141" s="4" t="s">
        <v>463</v>
      </c>
      <c r="G141" s="4" t="s">
        <v>567</v>
      </c>
      <c r="H141" s="5" t="s">
        <v>275</v>
      </c>
      <c r="I141" s="6">
        <f>INT(VALUE(LEFT(Table2[[#This Row],[runtime_min]],FIND(" ",Table2[[#This Row],[runtime_min]])-1))/60)*100 + MOD(VALUE(LEFT(Table2[[#This Row],[runtime_min]],FIND(" ",Table2[[#This Row],[runtime_min]])-1)),60)</f>
        <v>100</v>
      </c>
      <c r="J141" s="4" t="s">
        <v>109</v>
      </c>
      <c r="K141" s="7" t="s">
        <v>435</v>
      </c>
      <c r="L141" s="11"/>
      <c r="M141" s="9" t="s">
        <v>31</v>
      </c>
      <c r="N141" s="10" t="s">
        <v>23</v>
      </c>
    </row>
    <row r="142" spans="1:14" ht="14" x14ac:dyDescent="0.15">
      <c r="A142" s="4" t="s">
        <v>614</v>
      </c>
      <c r="B142" s="4" t="s">
        <v>628</v>
      </c>
      <c r="C142" s="5" t="s">
        <v>629</v>
      </c>
      <c r="D142" s="4" t="s">
        <v>95</v>
      </c>
      <c r="E142" s="4" t="s">
        <v>617</v>
      </c>
      <c r="F142" s="4" t="s">
        <v>463</v>
      </c>
      <c r="G142" s="4" t="s">
        <v>630</v>
      </c>
      <c r="H142" s="5" t="s">
        <v>179</v>
      </c>
      <c r="I142" s="6">
        <f>INT(VALUE(LEFT(Table2[[#This Row],[runtime_min]],FIND(" ",Table2[[#This Row],[runtime_min]])-1))/60)*100 + MOD(VALUE(LEFT(Table2[[#This Row],[runtime_min]],FIND(" ",Table2[[#This Row],[runtime_min]])-1)),60)</f>
        <v>58</v>
      </c>
      <c r="J142" s="4" t="s">
        <v>127</v>
      </c>
      <c r="K142" s="7" t="s">
        <v>631</v>
      </c>
      <c r="L142" s="11"/>
      <c r="M142" s="9" t="s">
        <v>31</v>
      </c>
      <c r="N142" s="10" t="s">
        <v>23</v>
      </c>
    </row>
    <row r="143" spans="1:14" ht="14" x14ac:dyDescent="0.15">
      <c r="A143" s="4" t="s">
        <v>614</v>
      </c>
      <c r="B143" s="4" t="s">
        <v>632</v>
      </c>
      <c r="C143" s="5" t="s">
        <v>633</v>
      </c>
      <c r="D143" s="4" t="s">
        <v>95</v>
      </c>
      <c r="E143" s="4" t="s">
        <v>617</v>
      </c>
      <c r="F143" s="4" t="s">
        <v>463</v>
      </c>
      <c r="G143" s="4" t="s">
        <v>570</v>
      </c>
      <c r="H143" s="5" t="s">
        <v>179</v>
      </c>
      <c r="I143" s="6">
        <f>INT(VALUE(LEFT(Table2[[#This Row],[runtime_min]],FIND(" ",Table2[[#This Row],[runtime_min]])-1))/60)*100 + MOD(VALUE(LEFT(Table2[[#This Row],[runtime_min]],FIND(" ",Table2[[#This Row],[runtime_min]])-1)),60)</f>
        <v>58</v>
      </c>
      <c r="J143" s="4" t="s">
        <v>114</v>
      </c>
      <c r="K143" s="7" t="s">
        <v>634</v>
      </c>
      <c r="L143" s="11"/>
      <c r="M143" s="9" t="s">
        <v>31</v>
      </c>
      <c r="N143" s="10" t="s">
        <v>23</v>
      </c>
    </row>
    <row r="144" spans="1:14" ht="14" x14ac:dyDescent="0.15">
      <c r="A144" s="4" t="s">
        <v>614</v>
      </c>
      <c r="B144" s="4" t="s">
        <v>635</v>
      </c>
      <c r="C144" s="5" t="s">
        <v>636</v>
      </c>
      <c r="D144" s="4" t="s">
        <v>95</v>
      </c>
      <c r="E144" s="4" t="s">
        <v>617</v>
      </c>
      <c r="F144" s="4" t="s">
        <v>463</v>
      </c>
      <c r="G144" s="4" t="s">
        <v>630</v>
      </c>
      <c r="H144" s="5" t="s">
        <v>179</v>
      </c>
      <c r="I144" s="6">
        <f>INT(VALUE(LEFT(Table2[[#This Row],[runtime_min]],FIND(" ",Table2[[#This Row],[runtime_min]])-1))/60)*100 + MOD(VALUE(LEFT(Table2[[#This Row],[runtime_min]],FIND(" ",Table2[[#This Row],[runtime_min]])-1)),60)</f>
        <v>58</v>
      </c>
      <c r="J144" s="4" t="s">
        <v>119</v>
      </c>
      <c r="K144" s="7" t="s">
        <v>637</v>
      </c>
      <c r="L144" s="11"/>
      <c r="M144" s="9" t="s">
        <v>31</v>
      </c>
      <c r="N144" s="10" t="s">
        <v>23</v>
      </c>
    </row>
    <row r="145" spans="1:14" x14ac:dyDescent="0.15">
      <c r="A145" s="4" t="s">
        <v>638</v>
      </c>
      <c r="B145" s="4" t="s">
        <v>639</v>
      </c>
      <c r="C145" s="5" t="s">
        <v>640</v>
      </c>
      <c r="D145" s="4" t="s">
        <v>17</v>
      </c>
      <c r="E145" s="4" t="s">
        <v>641</v>
      </c>
      <c r="F145" s="4" t="s">
        <v>295</v>
      </c>
      <c r="G145" s="4" t="s">
        <v>642</v>
      </c>
      <c r="H145" s="5" t="s">
        <v>643</v>
      </c>
      <c r="I145" s="6">
        <f>INT(VALUE(LEFT(Table2[[#This Row],[runtime_min]],FIND(" ",Table2[[#This Row],[runtime_min]])-1))/60)*100 + MOD(VALUE(LEFT(Table2[[#This Row],[runtime_min]],FIND(" ",Table2[[#This Row],[runtime_min]])-1)),60)</f>
        <v>110</v>
      </c>
      <c r="J145" s="4"/>
      <c r="K145" s="7"/>
      <c r="L145" s="11"/>
      <c r="M145" s="9" t="s">
        <v>31</v>
      </c>
      <c r="N145" s="10" t="s">
        <v>23</v>
      </c>
    </row>
    <row r="146" spans="1:14" x14ac:dyDescent="0.15">
      <c r="A146" s="4" t="s">
        <v>644</v>
      </c>
      <c r="B146" s="4" t="s">
        <v>645</v>
      </c>
      <c r="C146" s="5" t="s">
        <v>646</v>
      </c>
      <c r="D146" s="4" t="s">
        <v>17</v>
      </c>
      <c r="E146" s="4" t="s">
        <v>35</v>
      </c>
      <c r="F146" s="4" t="s">
        <v>647</v>
      </c>
      <c r="G146" s="4" t="s">
        <v>648</v>
      </c>
      <c r="H146" s="5" t="s">
        <v>49</v>
      </c>
      <c r="I146" s="6">
        <f>INT(VALUE(LEFT(Table2[[#This Row],[runtime_min]],FIND(" ",Table2[[#This Row],[runtime_min]])-1))/60)*100 + MOD(VALUE(LEFT(Table2[[#This Row],[runtime_min]],FIND(" ",Table2[[#This Row],[runtime_min]])-1)),60)</f>
        <v>136</v>
      </c>
      <c r="J146" s="4"/>
      <c r="K146" s="7"/>
      <c r="L146" s="11"/>
      <c r="M146" s="9" t="s">
        <v>31</v>
      </c>
      <c r="N146" s="10" t="s">
        <v>23</v>
      </c>
    </row>
    <row r="147" spans="1:14" x14ac:dyDescent="0.15">
      <c r="A147" s="4" t="s">
        <v>649</v>
      </c>
      <c r="B147" s="4" t="s">
        <v>650</v>
      </c>
      <c r="C147" s="5" t="s">
        <v>651</v>
      </c>
      <c r="D147" s="4" t="s">
        <v>27</v>
      </c>
      <c r="E147" s="4" t="s">
        <v>35</v>
      </c>
      <c r="F147" s="4" t="s">
        <v>59</v>
      </c>
      <c r="G147" s="4" t="s">
        <v>652</v>
      </c>
      <c r="H147" s="5" t="s">
        <v>653</v>
      </c>
      <c r="I147" s="6">
        <f>INT(VALUE(LEFT(Table2[[#This Row],[runtime_min]],FIND(" ",Table2[[#This Row],[runtime_min]])-1))/60)*100 + MOD(VALUE(LEFT(Table2[[#This Row],[runtime_min]],FIND(" ",Table2[[#This Row],[runtime_min]])-1)),60)</f>
        <v>200</v>
      </c>
      <c r="J147" s="4"/>
      <c r="K147" s="7"/>
      <c r="L147" s="11"/>
      <c r="M147" s="9" t="s">
        <v>31</v>
      </c>
      <c r="N147" s="10" t="s">
        <v>23</v>
      </c>
    </row>
    <row r="148" spans="1:14" ht="28" x14ac:dyDescent="0.15">
      <c r="A148" s="12" t="s">
        <v>654</v>
      </c>
      <c r="B148" s="12" t="s">
        <v>655</v>
      </c>
      <c r="C148" s="13" t="s">
        <v>656</v>
      </c>
      <c r="D148" s="4" t="s">
        <v>95</v>
      </c>
      <c r="E148" s="4" t="s">
        <v>35</v>
      </c>
      <c r="F148" s="4" t="s">
        <v>19</v>
      </c>
      <c r="G148" s="4" t="s">
        <v>657</v>
      </c>
      <c r="H148" s="13" t="s">
        <v>658</v>
      </c>
      <c r="I148" s="6">
        <f>INT(VALUE(LEFT(Table2[[#This Row],[runtime_min]],FIND(" ",Table2[[#This Row],[runtime_min]])-1))/60)*100 + MOD(VALUE(LEFT(Table2[[#This Row],[runtime_min]],FIND(" ",Table2[[#This Row],[runtime_min]])-1)),60)</f>
        <v>27</v>
      </c>
      <c r="J148" s="12" t="s">
        <v>104</v>
      </c>
      <c r="K148" s="14" t="s">
        <v>659</v>
      </c>
      <c r="L148" s="15"/>
      <c r="M148" s="9" t="s">
        <v>31</v>
      </c>
      <c r="N148" s="10" t="s">
        <v>23</v>
      </c>
    </row>
    <row r="149" spans="1:14" ht="28" x14ac:dyDescent="0.15">
      <c r="A149" s="12" t="s">
        <v>654</v>
      </c>
      <c r="B149" s="4" t="s">
        <v>660</v>
      </c>
      <c r="C149" s="5" t="s">
        <v>661</v>
      </c>
      <c r="D149" s="4" t="s">
        <v>95</v>
      </c>
      <c r="E149" s="4" t="s">
        <v>35</v>
      </c>
      <c r="F149" s="4" t="s">
        <v>28</v>
      </c>
      <c r="G149" s="4" t="s">
        <v>657</v>
      </c>
      <c r="H149" s="13" t="s">
        <v>658</v>
      </c>
      <c r="I149" s="6">
        <f>INT(VALUE(LEFT(Table2[[#This Row],[runtime_min]],FIND(" ",Table2[[#This Row],[runtime_min]])-1))/60)*100 + MOD(VALUE(LEFT(Table2[[#This Row],[runtime_min]],FIND(" ",Table2[[#This Row],[runtime_min]])-1)),60)</f>
        <v>27</v>
      </c>
      <c r="J149" s="4" t="s">
        <v>662</v>
      </c>
      <c r="K149" s="7" t="s">
        <v>663</v>
      </c>
      <c r="L149" s="11"/>
      <c r="M149" s="9" t="s">
        <v>31</v>
      </c>
      <c r="N149" s="10" t="s">
        <v>23</v>
      </c>
    </row>
    <row r="150" spans="1:14" ht="28" x14ac:dyDescent="0.15">
      <c r="A150" s="12" t="s">
        <v>654</v>
      </c>
      <c r="B150" s="4" t="s">
        <v>664</v>
      </c>
      <c r="C150" s="5"/>
      <c r="D150" s="4" t="s">
        <v>95</v>
      </c>
      <c r="E150" s="4" t="s">
        <v>35</v>
      </c>
      <c r="F150" s="4"/>
      <c r="G150" s="4"/>
      <c r="H150" s="13" t="s">
        <v>658</v>
      </c>
      <c r="I150" s="6">
        <f>INT(VALUE(LEFT(Table2[[#This Row],[runtime_min]],FIND(" ",Table2[[#This Row],[runtime_min]])-1))/60)*100 + MOD(VALUE(LEFT(Table2[[#This Row],[runtime_min]],FIND(" ",Table2[[#This Row],[runtime_min]])-1)),60)</f>
        <v>27</v>
      </c>
      <c r="J150" s="4" t="s">
        <v>109</v>
      </c>
      <c r="K150" s="7" t="s">
        <v>665</v>
      </c>
      <c r="L150" s="11"/>
      <c r="M150" s="9" t="s">
        <v>31</v>
      </c>
      <c r="N150" s="10" t="s">
        <v>23</v>
      </c>
    </row>
    <row r="151" spans="1:14" ht="28" x14ac:dyDescent="0.15">
      <c r="A151" s="12" t="s">
        <v>654</v>
      </c>
      <c r="B151" s="4" t="s">
        <v>666</v>
      </c>
      <c r="C151" s="5" t="s">
        <v>667</v>
      </c>
      <c r="D151" s="4" t="s">
        <v>95</v>
      </c>
      <c r="E151" s="4" t="s">
        <v>35</v>
      </c>
      <c r="F151" s="4" t="s">
        <v>463</v>
      </c>
      <c r="G151" s="4" t="s">
        <v>657</v>
      </c>
      <c r="H151" s="13" t="s">
        <v>658</v>
      </c>
      <c r="I151" s="6">
        <f>INT(VALUE(LEFT(Table2[[#This Row],[runtime_min]],FIND(" ",Table2[[#This Row],[runtime_min]])-1))/60)*100 + MOD(VALUE(LEFT(Table2[[#This Row],[runtime_min]],FIND(" ",Table2[[#This Row],[runtime_min]])-1)),60)</f>
        <v>27</v>
      </c>
      <c r="J151" s="4" t="s">
        <v>506</v>
      </c>
      <c r="K151" s="7" t="s">
        <v>668</v>
      </c>
      <c r="L151" s="11"/>
      <c r="M151" s="9" t="s">
        <v>31</v>
      </c>
      <c r="N151" s="10" t="s">
        <v>23</v>
      </c>
    </row>
    <row r="152" spans="1:14" ht="28" x14ac:dyDescent="0.15">
      <c r="A152" s="12" t="s">
        <v>654</v>
      </c>
      <c r="B152" s="4" t="s">
        <v>669</v>
      </c>
      <c r="C152" s="5"/>
      <c r="D152" s="4" t="s">
        <v>95</v>
      </c>
      <c r="E152" s="4" t="s">
        <v>35</v>
      </c>
      <c r="F152" s="4"/>
      <c r="G152" s="4"/>
      <c r="H152" s="13" t="s">
        <v>658</v>
      </c>
      <c r="I152" s="6">
        <f>INT(VALUE(LEFT(Table2[[#This Row],[runtime_min]],FIND(" ",Table2[[#This Row],[runtime_min]])-1))/60)*100 + MOD(VALUE(LEFT(Table2[[#This Row],[runtime_min]],FIND(" ",Table2[[#This Row],[runtime_min]])-1)),60)</f>
        <v>27</v>
      </c>
      <c r="J152" s="4" t="s">
        <v>502</v>
      </c>
      <c r="K152" s="7" t="s">
        <v>670</v>
      </c>
      <c r="L152" s="11"/>
      <c r="M152" s="9" t="s">
        <v>31</v>
      </c>
      <c r="N152" s="10" t="s">
        <v>23</v>
      </c>
    </row>
    <row r="153" spans="1:14" ht="42" x14ac:dyDescent="0.15">
      <c r="A153" s="12" t="s">
        <v>654</v>
      </c>
      <c r="B153" s="4" t="s">
        <v>671</v>
      </c>
      <c r="C153" s="5" t="s">
        <v>672</v>
      </c>
      <c r="D153" s="4" t="s">
        <v>95</v>
      </c>
      <c r="E153" s="4" t="s">
        <v>35</v>
      </c>
      <c r="F153" s="4" t="s">
        <v>28</v>
      </c>
      <c r="G153" s="4" t="s">
        <v>657</v>
      </c>
      <c r="H153" s="13" t="s">
        <v>658</v>
      </c>
      <c r="I153" s="6">
        <f>INT(VALUE(LEFT(Table2[[#This Row],[runtime_min]],FIND(" ",Table2[[#This Row],[runtime_min]])-1))/60)*100 + MOD(VALUE(LEFT(Table2[[#This Row],[runtime_min]],FIND(" ",Table2[[#This Row],[runtime_min]])-1)),60)</f>
        <v>27</v>
      </c>
      <c r="J153" s="4" t="s">
        <v>673</v>
      </c>
      <c r="K153" s="7" t="s">
        <v>674</v>
      </c>
      <c r="L153" s="11"/>
      <c r="M153" s="9" t="s">
        <v>31</v>
      </c>
      <c r="N153" s="10" t="s">
        <v>23</v>
      </c>
    </row>
    <row r="154" spans="1:14" ht="28" x14ac:dyDescent="0.15">
      <c r="A154" s="12" t="s">
        <v>654</v>
      </c>
      <c r="B154" s="4" t="s">
        <v>675</v>
      </c>
      <c r="C154" s="5" t="s">
        <v>676</v>
      </c>
      <c r="D154" s="4" t="s">
        <v>95</v>
      </c>
      <c r="E154" s="4" t="s">
        <v>35</v>
      </c>
      <c r="F154" s="4" t="s">
        <v>28</v>
      </c>
      <c r="G154" s="4" t="s">
        <v>657</v>
      </c>
      <c r="H154" s="5" t="s">
        <v>677</v>
      </c>
      <c r="I154" s="6">
        <f>INT(VALUE(LEFT(Table2[[#This Row],[runtime_min]],FIND(" ",Table2[[#This Row],[runtime_min]])-1))/60)*100 + MOD(VALUE(LEFT(Table2[[#This Row],[runtime_min]],FIND(" ",Table2[[#This Row],[runtime_min]])-1)),60)</f>
        <v>25</v>
      </c>
      <c r="J154" s="4" t="s">
        <v>506</v>
      </c>
      <c r="K154" s="7" t="s">
        <v>678</v>
      </c>
      <c r="L154" s="11"/>
      <c r="M154" s="9" t="s">
        <v>31</v>
      </c>
      <c r="N154" s="10" t="s">
        <v>23</v>
      </c>
    </row>
    <row r="155" spans="1:14" ht="28" x14ac:dyDescent="0.15">
      <c r="A155" s="12" t="s">
        <v>654</v>
      </c>
      <c r="B155" s="4" t="s">
        <v>679</v>
      </c>
      <c r="C155" s="5" t="s">
        <v>680</v>
      </c>
      <c r="D155" s="4" t="s">
        <v>95</v>
      </c>
      <c r="E155" s="4" t="s">
        <v>35</v>
      </c>
      <c r="F155" s="4" t="s">
        <v>19</v>
      </c>
      <c r="G155" s="4" t="s">
        <v>657</v>
      </c>
      <c r="H155" s="13" t="s">
        <v>658</v>
      </c>
      <c r="I155" s="6">
        <f>INT(VALUE(LEFT(Table2[[#This Row],[runtime_min]],FIND(" ",Table2[[#This Row],[runtime_min]])-1))/60)*100 + MOD(VALUE(LEFT(Table2[[#This Row],[runtime_min]],FIND(" ",Table2[[#This Row],[runtime_min]])-1)),60)</f>
        <v>27</v>
      </c>
      <c r="J155" s="4" t="s">
        <v>99</v>
      </c>
      <c r="K155" s="7" t="s">
        <v>681</v>
      </c>
      <c r="L155" s="11"/>
      <c r="M155" s="9" t="s">
        <v>31</v>
      </c>
      <c r="N155" s="10" t="s">
        <v>23</v>
      </c>
    </row>
    <row r="156" spans="1:14" ht="42" x14ac:dyDescent="0.15">
      <c r="A156" s="12" t="s">
        <v>654</v>
      </c>
      <c r="B156" s="4" t="s">
        <v>682</v>
      </c>
      <c r="C156" s="5" t="s">
        <v>683</v>
      </c>
      <c r="D156" s="4" t="s">
        <v>95</v>
      </c>
      <c r="E156" s="4" t="s">
        <v>35</v>
      </c>
      <c r="F156" s="4" t="s">
        <v>28</v>
      </c>
      <c r="G156" s="4" t="s">
        <v>657</v>
      </c>
      <c r="H156" s="13" t="s">
        <v>658</v>
      </c>
      <c r="I156" s="6">
        <f>INT(VALUE(LEFT(Table2[[#This Row],[runtime_min]],FIND(" ",Table2[[#This Row],[runtime_min]])-1))/60)*100 + MOD(VALUE(LEFT(Table2[[#This Row],[runtime_min]],FIND(" ",Table2[[#This Row],[runtime_min]])-1)),60)</f>
        <v>27</v>
      </c>
      <c r="J156" s="4" t="s">
        <v>684</v>
      </c>
      <c r="K156" s="7" t="s">
        <v>685</v>
      </c>
      <c r="L156" s="11"/>
      <c r="M156" s="9" t="s">
        <v>31</v>
      </c>
      <c r="N156" s="10" t="s">
        <v>23</v>
      </c>
    </row>
    <row r="157" spans="1:14" ht="28" x14ac:dyDescent="0.15">
      <c r="A157" s="12" t="s">
        <v>654</v>
      </c>
      <c r="B157" s="4" t="s">
        <v>686</v>
      </c>
      <c r="C157" s="5"/>
      <c r="D157" s="4" t="s">
        <v>95</v>
      </c>
      <c r="E157" s="4" t="s">
        <v>35</v>
      </c>
      <c r="F157" s="4"/>
      <c r="G157" s="4"/>
      <c r="H157" s="13" t="s">
        <v>658</v>
      </c>
      <c r="I157" s="6">
        <f>INT(VALUE(LEFT(Table2[[#This Row],[runtime_min]],FIND(" ",Table2[[#This Row],[runtime_min]])-1))/60)*100 + MOD(VALUE(LEFT(Table2[[#This Row],[runtime_min]],FIND(" ",Table2[[#This Row],[runtime_min]])-1)),60)</f>
        <v>27</v>
      </c>
      <c r="J157" s="4" t="s">
        <v>510</v>
      </c>
      <c r="K157" s="7" t="s">
        <v>687</v>
      </c>
      <c r="L157" s="11"/>
      <c r="M157" s="9" t="s">
        <v>31</v>
      </c>
      <c r="N157" s="10" t="s">
        <v>23</v>
      </c>
    </row>
    <row r="158" spans="1:14" ht="28" x14ac:dyDescent="0.15">
      <c r="A158" s="12" t="s">
        <v>654</v>
      </c>
      <c r="B158" s="4" t="s">
        <v>688</v>
      </c>
      <c r="C158" s="5" t="s">
        <v>689</v>
      </c>
      <c r="D158" s="4" t="s">
        <v>95</v>
      </c>
      <c r="E158" s="4" t="s">
        <v>35</v>
      </c>
      <c r="F158" s="4" t="s">
        <v>463</v>
      </c>
      <c r="G158" s="4" t="s">
        <v>657</v>
      </c>
      <c r="H158" s="13" t="s">
        <v>658</v>
      </c>
      <c r="I158" s="6">
        <f>INT(VALUE(LEFT(Table2[[#This Row],[runtime_min]],FIND(" ",Table2[[#This Row],[runtime_min]])-1))/60)*100 + MOD(VALUE(LEFT(Table2[[#This Row],[runtime_min]],FIND(" ",Table2[[#This Row],[runtime_min]])-1)),60)</f>
        <v>27</v>
      </c>
      <c r="J158" s="4" t="s">
        <v>486</v>
      </c>
      <c r="K158" s="7" t="s">
        <v>690</v>
      </c>
      <c r="L158" s="11"/>
      <c r="M158" s="9" t="s">
        <v>31</v>
      </c>
      <c r="N158" s="10" t="s">
        <v>23</v>
      </c>
    </row>
    <row r="159" spans="1:14" ht="28" x14ac:dyDescent="0.15">
      <c r="A159" s="12" t="s">
        <v>654</v>
      </c>
      <c r="B159" s="4" t="s">
        <v>691</v>
      </c>
      <c r="C159" s="5" t="s">
        <v>692</v>
      </c>
      <c r="D159" s="4" t="s">
        <v>95</v>
      </c>
      <c r="E159" s="4" t="s">
        <v>35</v>
      </c>
      <c r="F159" s="4" t="s">
        <v>19</v>
      </c>
      <c r="G159" s="4" t="s">
        <v>657</v>
      </c>
      <c r="H159" s="13" t="s">
        <v>658</v>
      </c>
      <c r="I159" s="6">
        <f>INT(VALUE(LEFT(Table2[[#This Row],[runtime_min]],FIND(" ",Table2[[#This Row],[runtime_min]])-1))/60)*100 + MOD(VALUE(LEFT(Table2[[#This Row],[runtime_min]],FIND(" ",Table2[[#This Row],[runtime_min]])-1)),60)</f>
        <v>27</v>
      </c>
      <c r="J159" s="4" t="s">
        <v>123</v>
      </c>
      <c r="K159" s="7" t="s">
        <v>693</v>
      </c>
      <c r="L159" s="11"/>
      <c r="M159" s="9" t="s">
        <v>31</v>
      </c>
      <c r="N159" s="10" t="s">
        <v>23</v>
      </c>
    </row>
    <row r="160" spans="1:14" ht="28" x14ac:dyDescent="0.15">
      <c r="A160" s="12" t="s">
        <v>654</v>
      </c>
      <c r="B160" s="4" t="s">
        <v>694</v>
      </c>
      <c r="C160" s="5"/>
      <c r="D160" s="4" t="s">
        <v>95</v>
      </c>
      <c r="E160" s="4"/>
      <c r="F160" s="4"/>
      <c r="G160" s="4"/>
      <c r="H160" s="5" t="s">
        <v>207</v>
      </c>
      <c r="I160" s="6">
        <f>INT(VALUE(LEFT(Table2[[#This Row],[runtime_min]],FIND(" ",Table2[[#This Row],[runtime_min]])-1))/60)*100 + MOD(VALUE(LEFT(Table2[[#This Row],[runtime_min]],FIND(" ",Table2[[#This Row],[runtime_min]])-1)),60)</f>
        <v>57</v>
      </c>
      <c r="J160" s="4"/>
      <c r="K160" s="16" t="s">
        <v>695</v>
      </c>
      <c r="L160" s="11"/>
      <c r="M160" s="9" t="s">
        <v>31</v>
      </c>
      <c r="N160" s="10" t="s">
        <v>23</v>
      </c>
    </row>
    <row r="161" spans="1:14" ht="14" x14ac:dyDescent="0.15">
      <c r="A161" s="4" t="s">
        <v>696</v>
      </c>
      <c r="B161" s="4" t="s">
        <v>697</v>
      </c>
      <c r="C161" s="5"/>
      <c r="D161" s="4" t="s">
        <v>95</v>
      </c>
      <c r="E161" s="4"/>
      <c r="F161" s="4"/>
      <c r="G161" s="4"/>
      <c r="H161" s="5" t="s">
        <v>698</v>
      </c>
      <c r="I161" s="6">
        <f>INT(VALUE(LEFT(Table2[[#This Row],[runtime_min]],FIND(" ",Table2[[#This Row],[runtime_min]])-1))/60)*100 + MOD(VALUE(LEFT(Table2[[#This Row],[runtime_min]],FIND(" ",Table2[[#This Row],[runtime_min]])-1)),60)</f>
        <v>18</v>
      </c>
      <c r="J161" s="4" t="s">
        <v>99</v>
      </c>
      <c r="K161" s="7" t="s">
        <v>699</v>
      </c>
      <c r="L161" s="11"/>
      <c r="M161" s="9" t="s">
        <v>31</v>
      </c>
      <c r="N161" s="10" t="s">
        <v>23</v>
      </c>
    </row>
    <row r="162" spans="1:14" ht="14" x14ac:dyDescent="0.15">
      <c r="A162" s="4" t="s">
        <v>696</v>
      </c>
      <c r="B162" s="4" t="s">
        <v>700</v>
      </c>
      <c r="C162" s="5"/>
      <c r="D162" s="4" t="s">
        <v>95</v>
      </c>
      <c r="E162" s="4"/>
      <c r="F162" s="4"/>
      <c r="G162" s="4"/>
      <c r="H162" s="5" t="s">
        <v>698</v>
      </c>
      <c r="I162" s="6">
        <f>INT(VALUE(LEFT(Table2[[#This Row],[runtime_min]],FIND(" ",Table2[[#This Row],[runtime_min]])-1))/60)*100 + MOD(VALUE(LEFT(Table2[[#This Row],[runtime_min]],FIND(" ",Table2[[#This Row],[runtime_min]])-1)),60)</f>
        <v>18</v>
      </c>
      <c r="J162" s="4" t="s">
        <v>104</v>
      </c>
      <c r="K162" s="7" t="s">
        <v>701</v>
      </c>
      <c r="L162" s="11"/>
      <c r="M162" s="9" t="s">
        <v>31</v>
      </c>
      <c r="N162" s="10" t="s">
        <v>23</v>
      </c>
    </row>
    <row r="163" spans="1:14" ht="14" x14ac:dyDescent="0.15">
      <c r="A163" s="4" t="s">
        <v>696</v>
      </c>
      <c r="B163" s="4" t="s">
        <v>702</v>
      </c>
      <c r="C163" s="5"/>
      <c r="D163" s="4" t="s">
        <v>95</v>
      </c>
      <c r="E163" s="4"/>
      <c r="F163" s="4"/>
      <c r="G163" s="4"/>
      <c r="H163" s="5" t="s">
        <v>703</v>
      </c>
      <c r="I163" s="6">
        <f>INT(VALUE(LEFT(Table2[[#This Row],[runtime_min]],FIND(" ",Table2[[#This Row],[runtime_min]])-1))/60)*100 + MOD(VALUE(LEFT(Table2[[#This Row],[runtime_min]],FIND(" ",Table2[[#This Row],[runtime_min]])-1)),60)</f>
        <v>15</v>
      </c>
      <c r="J163" s="4" t="s">
        <v>123</v>
      </c>
      <c r="K163" s="7" t="s">
        <v>704</v>
      </c>
      <c r="L163" s="11"/>
      <c r="M163" s="9" t="s">
        <v>31</v>
      </c>
      <c r="N163" s="10" t="s">
        <v>23</v>
      </c>
    </row>
    <row r="164" spans="1:14" ht="14" x14ac:dyDescent="0.15">
      <c r="A164" s="4" t="s">
        <v>696</v>
      </c>
      <c r="B164" s="4" t="s">
        <v>705</v>
      </c>
      <c r="C164" s="5"/>
      <c r="D164" s="4" t="s">
        <v>95</v>
      </c>
      <c r="E164" s="4"/>
      <c r="F164" s="4"/>
      <c r="G164" s="4"/>
      <c r="H164" s="5" t="s">
        <v>703</v>
      </c>
      <c r="I164" s="6">
        <f>INT(VALUE(LEFT(Table2[[#This Row],[runtime_min]],FIND(" ",Table2[[#This Row],[runtime_min]])-1))/60)*100 + MOD(VALUE(LEFT(Table2[[#This Row],[runtime_min]],FIND(" ",Table2[[#This Row],[runtime_min]])-1)),60)</f>
        <v>15</v>
      </c>
      <c r="J164" s="4" t="s">
        <v>109</v>
      </c>
      <c r="K164" s="7" t="s">
        <v>706</v>
      </c>
      <c r="L164" s="11"/>
      <c r="M164" s="9" t="s">
        <v>31</v>
      </c>
      <c r="N164" s="10" t="s">
        <v>23</v>
      </c>
    </row>
    <row r="165" spans="1:14" ht="14" x14ac:dyDescent="0.15">
      <c r="A165" s="4" t="s">
        <v>696</v>
      </c>
      <c r="B165" s="4" t="s">
        <v>707</v>
      </c>
      <c r="C165" s="5"/>
      <c r="D165" s="4" t="s">
        <v>95</v>
      </c>
      <c r="E165" s="4"/>
      <c r="F165" s="4"/>
      <c r="G165" s="4"/>
      <c r="H165" s="5" t="s">
        <v>708</v>
      </c>
      <c r="I165" s="6">
        <f>INT(VALUE(LEFT(Table2[[#This Row],[runtime_min]],FIND(" ",Table2[[#This Row],[runtime_min]])-1))/60)*100 + MOD(VALUE(LEFT(Table2[[#This Row],[runtime_min]],FIND(" ",Table2[[#This Row],[runtime_min]])-1)),60)</f>
        <v>12</v>
      </c>
      <c r="J165" s="4" t="s">
        <v>127</v>
      </c>
      <c r="K165" s="7" t="s">
        <v>709</v>
      </c>
      <c r="L165" s="11"/>
      <c r="M165" s="9" t="s">
        <v>31</v>
      </c>
      <c r="N165" s="10" t="s">
        <v>23</v>
      </c>
    </row>
    <row r="166" spans="1:14" ht="14" x14ac:dyDescent="0.15">
      <c r="A166" s="4" t="s">
        <v>696</v>
      </c>
      <c r="B166" s="4" t="s">
        <v>710</v>
      </c>
      <c r="C166" s="5"/>
      <c r="D166" s="4" t="s">
        <v>95</v>
      </c>
      <c r="E166" s="4"/>
      <c r="F166" s="4"/>
      <c r="G166" s="4"/>
      <c r="H166" s="5" t="s">
        <v>708</v>
      </c>
      <c r="I166" s="6">
        <f>INT(VALUE(LEFT(Table2[[#This Row],[runtime_min]],FIND(" ",Table2[[#This Row],[runtime_min]])-1))/60)*100 + MOD(VALUE(LEFT(Table2[[#This Row],[runtime_min]],FIND(" ",Table2[[#This Row],[runtime_min]])-1)),60)</f>
        <v>12</v>
      </c>
      <c r="J166" s="4" t="s">
        <v>114</v>
      </c>
      <c r="K166" s="7" t="s">
        <v>711</v>
      </c>
      <c r="L166" s="11"/>
      <c r="M166" s="9" t="s">
        <v>31</v>
      </c>
      <c r="N166" s="10" t="s">
        <v>23</v>
      </c>
    </row>
    <row r="167" spans="1:14" ht="14" x14ac:dyDescent="0.15">
      <c r="A167" s="4" t="s">
        <v>696</v>
      </c>
      <c r="B167" s="4" t="s">
        <v>712</v>
      </c>
      <c r="C167" s="5"/>
      <c r="D167" s="4" t="s">
        <v>95</v>
      </c>
      <c r="E167" s="4"/>
      <c r="F167" s="4"/>
      <c r="G167" s="4"/>
      <c r="H167" s="5" t="s">
        <v>308</v>
      </c>
      <c r="I167" s="6">
        <f>INT(VALUE(LEFT(Table2[[#This Row],[runtime_min]],FIND(" ",Table2[[#This Row],[runtime_min]])-1))/60)*100 + MOD(VALUE(LEFT(Table2[[#This Row],[runtime_min]],FIND(" ",Table2[[#This Row],[runtime_min]])-1)),60)</f>
        <v>101</v>
      </c>
      <c r="J167" s="4"/>
      <c r="K167" s="16" t="s">
        <v>713</v>
      </c>
      <c r="L167" s="11"/>
      <c r="M167" s="9" t="s">
        <v>31</v>
      </c>
      <c r="N167" s="10" t="s">
        <v>23</v>
      </c>
    </row>
    <row r="168" spans="1:14" x14ac:dyDescent="0.15">
      <c r="A168" s="4" t="s">
        <v>714</v>
      </c>
      <c r="B168" s="4" t="s">
        <v>715</v>
      </c>
      <c r="C168" s="5" t="s">
        <v>716</v>
      </c>
      <c r="D168" s="4" t="s">
        <v>27</v>
      </c>
      <c r="E168" s="4" t="s">
        <v>53</v>
      </c>
      <c r="F168" s="4" t="s">
        <v>28</v>
      </c>
      <c r="G168" s="4" t="s">
        <v>717</v>
      </c>
      <c r="H168" s="5" t="s">
        <v>718</v>
      </c>
      <c r="I168" s="6">
        <f>INT(VALUE(LEFT(Table2[[#This Row],[runtime_min]],FIND(" ",Table2[[#This Row],[runtime_min]])-1))/60)*100 + MOD(VALUE(LEFT(Table2[[#This Row],[runtime_min]],FIND(" ",Table2[[#This Row],[runtime_min]])-1)),60)</f>
        <v>230</v>
      </c>
      <c r="J168" s="4"/>
      <c r="K168" s="7"/>
      <c r="L168" s="11"/>
      <c r="M168" s="9" t="s">
        <v>31</v>
      </c>
      <c r="N168" s="10" t="s">
        <v>23</v>
      </c>
    </row>
    <row r="169" spans="1:14" x14ac:dyDescent="0.15">
      <c r="A169" s="4" t="s">
        <v>719</v>
      </c>
      <c r="B169" s="4" t="s">
        <v>720</v>
      </c>
      <c r="C169" s="5" t="s">
        <v>721</v>
      </c>
      <c r="D169" s="4" t="s">
        <v>27</v>
      </c>
      <c r="E169" s="4" t="s">
        <v>722</v>
      </c>
      <c r="F169" s="4" t="s">
        <v>463</v>
      </c>
      <c r="G169" s="4" t="s">
        <v>723</v>
      </c>
      <c r="H169" s="5" t="s">
        <v>441</v>
      </c>
      <c r="I169" s="6">
        <f>INT(VALUE(LEFT(Table2[[#This Row],[runtime_min]],FIND(" ",Table2[[#This Row],[runtime_min]])-1))/60)*100 + MOD(VALUE(LEFT(Table2[[#This Row],[runtime_min]],FIND(" ",Table2[[#This Row],[runtime_min]])-1)),60)</f>
        <v>152</v>
      </c>
      <c r="J169" s="4"/>
      <c r="K169" s="7"/>
      <c r="L169" s="11"/>
      <c r="M169" s="9" t="s">
        <v>31</v>
      </c>
      <c r="N169" s="10" t="s">
        <v>23</v>
      </c>
    </row>
    <row r="170" spans="1:14" x14ac:dyDescent="0.15">
      <c r="A170" s="4" t="s">
        <v>724</v>
      </c>
      <c r="B170" s="4" t="s">
        <v>725</v>
      </c>
      <c r="C170" s="5" t="s">
        <v>726</v>
      </c>
      <c r="D170" s="4" t="s">
        <v>17</v>
      </c>
      <c r="E170" s="4" t="s">
        <v>727</v>
      </c>
      <c r="F170" s="4" t="s">
        <v>36</v>
      </c>
      <c r="G170" s="4" t="s">
        <v>728</v>
      </c>
      <c r="H170" s="5" t="s">
        <v>66</v>
      </c>
      <c r="I170" s="6">
        <f>INT(VALUE(LEFT(Table2[[#This Row],[runtime_min]],FIND(" ",Table2[[#This Row],[runtime_min]])-1))/60)*100 + MOD(VALUE(LEFT(Table2[[#This Row],[runtime_min]],FIND(" ",Table2[[#This Row],[runtime_min]])-1)),60)</f>
        <v>127</v>
      </c>
      <c r="J170" s="4"/>
      <c r="K170" s="7"/>
      <c r="L170" s="11"/>
      <c r="M170" s="9" t="s">
        <v>31</v>
      </c>
      <c r="N170" s="10" t="s">
        <v>23</v>
      </c>
    </row>
    <row r="171" spans="1:14" x14ac:dyDescent="0.15">
      <c r="A171" s="4" t="s">
        <v>729</v>
      </c>
      <c r="B171" s="4" t="s">
        <v>730</v>
      </c>
      <c r="C171" s="5" t="s">
        <v>731</v>
      </c>
      <c r="D171" s="4" t="s">
        <v>17</v>
      </c>
      <c r="E171" s="4" t="s">
        <v>35</v>
      </c>
      <c r="F171" s="4" t="s">
        <v>165</v>
      </c>
      <c r="G171" s="4" t="s">
        <v>732</v>
      </c>
      <c r="H171" s="5" t="s">
        <v>733</v>
      </c>
      <c r="I171" s="6">
        <f>INT(VALUE(LEFT(Table2[[#This Row],[runtime_min]],FIND(" ",Table2[[#This Row],[runtime_min]])-1))/60)*100 + MOD(VALUE(LEFT(Table2[[#This Row],[runtime_min]],FIND(" ",Table2[[#This Row],[runtime_min]])-1)),60)</f>
        <v>135</v>
      </c>
      <c r="J171" s="4"/>
      <c r="K171" s="7"/>
      <c r="L171" s="11"/>
      <c r="M171" s="9" t="s">
        <v>31</v>
      </c>
      <c r="N171" s="10" t="s">
        <v>23</v>
      </c>
    </row>
    <row r="172" spans="1:14" ht="14" x14ac:dyDescent="0.15">
      <c r="A172" s="4" t="s">
        <v>734</v>
      </c>
      <c r="B172" s="4" t="s">
        <v>735</v>
      </c>
      <c r="C172" s="5" t="s">
        <v>736</v>
      </c>
      <c r="D172" s="4" t="s">
        <v>17</v>
      </c>
      <c r="E172" s="4" t="s">
        <v>204</v>
      </c>
      <c r="F172" s="4" t="s">
        <v>253</v>
      </c>
      <c r="G172" s="4" t="s">
        <v>737</v>
      </c>
      <c r="H172" s="5" t="s">
        <v>21</v>
      </c>
      <c r="I172" s="6">
        <f>INT(VALUE(LEFT(Table2[[#This Row],[runtime_min]],FIND(" ",Table2[[#This Row],[runtime_min]])-1))/60)*100 + MOD(VALUE(LEFT(Table2[[#This Row],[runtime_min]],FIND(" ",Table2[[#This Row],[runtime_min]])-1)),60)</f>
        <v>132</v>
      </c>
      <c r="J172" s="10"/>
      <c r="K172" s="7"/>
      <c r="L172" s="11" t="s">
        <v>22</v>
      </c>
      <c r="M172" s="9" t="s">
        <v>23</v>
      </c>
      <c r="N172" s="10" t="s">
        <v>23</v>
      </c>
    </row>
    <row r="173" spans="1:14" ht="14" x14ac:dyDescent="0.15">
      <c r="A173" s="12" t="s">
        <v>738</v>
      </c>
      <c r="B173" s="4" t="s">
        <v>739</v>
      </c>
      <c r="C173" s="5" t="s">
        <v>740</v>
      </c>
      <c r="D173" s="4" t="s">
        <v>95</v>
      </c>
      <c r="E173" s="4" t="s">
        <v>741</v>
      </c>
      <c r="F173" s="4" t="s">
        <v>742</v>
      </c>
      <c r="G173" s="4" t="s">
        <v>520</v>
      </c>
      <c r="H173" s="5" t="s">
        <v>476</v>
      </c>
      <c r="I173" s="6">
        <f>INT(VALUE(LEFT(Table2[[#This Row],[runtime_min]],FIND(" ",Table2[[#This Row],[runtime_min]])-1))/60)*100 + MOD(VALUE(LEFT(Table2[[#This Row],[runtime_min]],FIND(" ",Table2[[#This Row],[runtime_min]])-1)),60)</f>
        <v>49</v>
      </c>
      <c r="J173" s="4" t="s">
        <v>99</v>
      </c>
      <c r="K173" s="7" t="s">
        <v>743</v>
      </c>
      <c r="L173" s="11"/>
      <c r="M173" s="9" t="s">
        <v>31</v>
      </c>
      <c r="N173" s="10" t="s">
        <v>23</v>
      </c>
    </row>
    <row r="174" spans="1:14" ht="14" x14ac:dyDescent="0.15">
      <c r="A174" s="12" t="s">
        <v>738</v>
      </c>
      <c r="B174" s="4" t="s">
        <v>744</v>
      </c>
      <c r="C174" s="5" t="s">
        <v>745</v>
      </c>
      <c r="D174" s="4" t="s">
        <v>95</v>
      </c>
      <c r="E174" s="4" t="s">
        <v>741</v>
      </c>
      <c r="F174" s="4" t="s">
        <v>746</v>
      </c>
      <c r="G174" s="4" t="s">
        <v>520</v>
      </c>
      <c r="H174" s="5" t="s">
        <v>476</v>
      </c>
      <c r="I174" s="6">
        <f>INT(VALUE(LEFT(Table2[[#This Row],[runtime_min]],FIND(" ",Table2[[#This Row],[runtime_min]])-1))/60)*100 + MOD(VALUE(LEFT(Table2[[#This Row],[runtime_min]],FIND(" ",Table2[[#This Row],[runtime_min]])-1)),60)</f>
        <v>49</v>
      </c>
      <c r="J174" s="4" t="s">
        <v>104</v>
      </c>
      <c r="K174" s="7" t="s">
        <v>105</v>
      </c>
      <c r="L174" s="11"/>
      <c r="M174" s="9" t="s">
        <v>31</v>
      </c>
      <c r="N174" s="10" t="s">
        <v>23</v>
      </c>
    </row>
    <row r="175" spans="1:14" ht="14" x14ac:dyDescent="0.15">
      <c r="A175" s="12" t="s">
        <v>738</v>
      </c>
      <c r="B175" s="4" t="s">
        <v>747</v>
      </c>
      <c r="C175" s="5" t="s">
        <v>748</v>
      </c>
      <c r="D175" s="4" t="s">
        <v>95</v>
      </c>
      <c r="E175" s="4" t="s">
        <v>741</v>
      </c>
      <c r="F175" s="4" t="s">
        <v>746</v>
      </c>
      <c r="G175" s="4" t="s">
        <v>520</v>
      </c>
      <c r="H175" s="5" t="s">
        <v>521</v>
      </c>
      <c r="I175" s="6">
        <f>INT(VALUE(LEFT(Table2[[#This Row],[runtime_min]],FIND(" ",Table2[[#This Row],[runtime_min]])-1))/60)*100 + MOD(VALUE(LEFT(Table2[[#This Row],[runtime_min]],FIND(" ",Table2[[#This Row],[runtime_min]])-1)),60)</f>
        <v>48</v>
      </c>
      <c r="J175" s="4" t="s">
        <v>123</v>
      </c>
      <c r="K175" s="7" t="s">
        <v>749</v>
      </c>
      <c r="L175" s="11"/>
      <c r="M175" s="9" t="s">
        <v>31</v>
      </c>
      <c r="N175" s="10" t="s">
        <v>23</v>
      </c>
    </row>
    <row r="176" spans="1:14" ht="14" x14ac:dyDescent="0.15">
      <c r="A176" s="12" t="s">
        <v>738</v>
      </c>
      <c r="B176" s="4" t="s">
        <v>750</v>
      </c>
      <c r="C176" s="5" t="s">
        <v>751</v>
      </c>
      <c r="D176" s="4" t="s">
        <v>95</v>
      </c>
      <c r="E176" s="4" t="s">
        <v>741</v>
      </c>
      <c r="F176" s="4" t="s">
        <v>746</v>
      </c>
      <c r="G176" s="4" t="s">
        <v>520</v>
      </c>
      <c r="H176" s="5" t="s">
        <v>476</v>
      </c>
      <c r="I176" s="6">
        <f>INT(VALUE(LEFT(Table2[[#This Row],[runtime_min]],FIND(" ",Table2[[#This Row],[runtime_min]])-1))/60)*100 + MOD(VALUE(LEFT(Table2[[#This Row],[runtime_min]],FIND(" ",Table2[[#This Row],[runtime_min]])-1)),60)</f>
        <v>49</v>
      </c>
      <c r="J176" s="4" t="s">
        <v>109</v>
      </c>
      <c r="K176" s="7" t="s">
        <v>752</v>
      </c>
      <c r="L176" s="11"/>
      <c r="M176" s="9" t="s">
        <v>31</v>
      </c>
      <c r="N176" s="10" t="s">
        <v>23</v>
      </c>
    </row>
    <row r="177" spans="1:14" ht="14" x14ac:dyDescent="0.15">
      <c r="A177" s="12" t="s">
        <v>738</v>
      </c>
      <c r="B177" s="4" t="s">
        <v>753</v>
      </c>
      <c r="C177" s="5" t="s">
        <v>754</v>
      </c>
      <c r="D177" s="4" t="s">
        <v>95</v>
      </c>
      <c r="E177" s="4" t="s">
        <v>741</v>
      </c>
      <c r="F177" s="4" t="s">
        <v>746</v>
      </c>
      <c r="G177" s="4" t="s">
        <v>520</v>
      </c>
      <c r="H177" s="5" t="s">
        <v>476</v>
      </c>
      <c r="I177" s="6">
        <f>INT(VALUE(LEFT(Table2[[#This Row],[runtime_min]],FIND(" ",Table2[[#This Row],[runtime_min]])-1))/60)*100 + MOD(VALUE(LEFT(Table2[[#This Row],[runtime_min]],FIND(" ",Table2[[#This Row],[runtime_min]])-1)),60)</f>
        <v>49</v>
      </c>
      <c r="J177" s="4" t="s">
        <v>127</v>
      </c>
      <c r="K177" s="7" t="s">
        <v>755</v>
      </c>
      <c r="L177" s="11"/>
      <c r="M177" s="9" t="s">
        <v>31</v>
      </c>
      <c r="N177" s="10" t="s">
        <v>23</v>
      </c>
    </row>
    <row r="178" spans="1:14" ht="14" x14ac:dyDescent="0.15">
      <c r="A178" s="12" t="s">
        <v>738</v>
      </c>
      <c r="B178" s="4" t="s">
        <v>756</v>
      </c>
      <c r="C178" s="5" t="s">
        <v>757</v>
      </c>
      <c r="D178" s="4" t="s">
        <v>95</v>
      </c>
      <c r="E178" s="4" t="s">
        <v>741</v>
      </c>
      <c r="F178" s="4" t="s">
        <v>746</v>
      </c>
      <c r="G178" s="4" t="s">
        <v>520</v>
      </c>
      <c r="H178" s="5" t="s">
        <v>476</v>
      </c>
      <c r="I178" s="6">
        <f>INT(VALUE(LEFT(Table2[[#This Row],[runtime_min]],FIND(" ",Table2[[#This Row],[runtime_min]])-1))/60)*100 + MOD(VALUE(LEFT(Table2[[#This Row],[runtime_min]],FIND(" ",Table2[[#This Row],[runtime_min]])-1)),60)</f>
        <v>49</v>
      </c>
      <c r="J178" s="4" t="s">
        <v>114</v>
      </c>
      <c r="K178" s="7" t="s">
        <v>758</v>
      </c>
      <c r="L178" s="11"/>
      <c r="M178" s="9" t="s">
        <v>31</v>
      </c>
      <c r="N178" s="10" t="s">
        <v>23</v>
      </c>
    </row>
    <row r="179" spans="1:14" ht="14" x14ac:dyDescent="0.15">
      <c r="A179" s="12" t="s">
        <v>738</v>
      </c>
      <c r="B179" s="4" t="s">
        <v>759</v>
      </c>
      <c r="C179" s="5" t="s">
        <v>760</v>
      </c>
      <c r="D179" s="4" t="s">
        <v>95</v>
      </c>
      <c r="E179" s="4" t="s">
        <v>741</v>
      </c>
      <c r="F179" s="4" t="s">
        <v>746</v>
      </c>
      <c r="G179" s="4" t="s">
        <v>520</v>
      </c>
      <c r="H179" s="5" t="s">
        <v>476</v>
      </c>
      <c r="I179" s="6">
        <f>INT(VALUE(LEFT(Table2[[#This Row],[runtime_min]],FIND(" ",Table2[[#This Row],[runtime_min]])-1))/60)*100 + MOD(VALUE(LEFT(Table2[[#This Row],[runtime_min]],FIND(" ",Table2[[#This Row],[runtime_min]])-1)),60)</f>
        <v>49</v>
      </c>
      <c r="J179" s="4" t="s">
        <v>119</v>
      </c>
      <c r="K179" s="7" t="s">
        <v>761</v>
      </c>
      <c r="L179" s="11"/>
      <c r="M179" s="9" t="s">
        <v>31</v>
      </c>
      <c r="N179" s="10" t="s">
        <v>23</v>
      </c>
    </row>
    <row r="180" spans="1:14" ht="14" x14ac:dyDescent="0.15">
      <c r="A180" s="12" t="s">
        <v>738</v>
      </c>
      <c r="B180" s="4" t="s">
        <v>762</v>
      </c>
      <c r="C180" s="5" t="s">
        <v>763</v>
      </c>
      <c r="D180" s="4" t="s">
        <v>95</v>
      </c>
      <c r="E180" s="4" t="s">
        <v>741</v>
      </c>
      <c r="F180" s="4" t="s">
        <v>746</v>
      </c>
      <c r="G180" s="4" t="s">
        <v>520</v>
      </c>
      <c r="H180" s="5" t="s">
        <v>521</v>
      </c>
      <c r="I180" s="6">
        <f>INT(VALUE(LEFT(Table2[[#This Row],[runtime_min]],FIND(" ",Table2[[#This Row],[runtime_min]])-1))/60)*100 + MOD(VALUE(LEFT(Table2[[#This Row],[runtime_min]],FIND(" ",Table2[[#This Row],[runtime_min]])-1)),60)</f>
        <v>48</v>
      </c>
      <c r="J180" s="4" t="s">
        <v>336</v>
      </c>
      <c r="K180" s="7" t="s">
        <v>115</v>
      </c>
      <c r="L180" s="11"/>
      <c r="M180" s="9" t="s">
        <v>31</v>
      </c>
      <c r="N180" s="10" t="s">
        <v>23</v>
      </c>
    </row>
    <row r="181" spans="1:14" x14ac:dyDescent="0.15">
      <c r="A181" s="4" t="s">
        <v>764</v>
      </c>
      <c r="B181" s="4" t="s">
        <v>765</v>
      </c>
      <c r="C181" s="5" t="s">
        <v>766</v>
      </c>
      <c r="D181" s="4" t="s">
        <v>27</v>
      </c>
      <c r="E181" s="4" t="s">
        <v>35</v>
      </c>
      <c r="F181" s="4" t="s">
        <v>767</v>
      </c>
      <c r="G181" s="4" t="s">
        <v>768</v>
      </c>
      <c r="H181" s="5" t="s">
        <v>769</v>
      </c>
      <c r="I181" s="6">
        <f>INT(VALUE(LEFT(Table2[[#This Row],[runtime_min]],FIND(" ",Table2[[#This Row],[runtime_min]])-1))/60)*100 + MOD(VALUE(LEFT(Table2[[#This Row],[runtime_min]],FIND(" ",Table2[[#This Row],[runtime_min]])-1)),60)</f>
        <v>204</v>
      </c>
      <c r="J181" s="4"/>
      <c r="K181" s="7"/>
      <c r="L181" s="11"/>
      <c r="M181" s="9" t="s">
        <v>31</v>
      </c>
      <c r="N181" s="10" t="s">
        <v>23</v>
      </c>
    </row>
    <row r="182" spans="1:14" x14ac:dyDescent="0.15">
      <c r="A182" s="4" t="s">
        <v>770</v>
      </c>
      <c r="B182" s="4" t="s">
        <v>771</v>
      </c>
      <c r="C182" s="5" t="s">
        <v>772</v>
      </c>
      <c r="D182" s="4" t="s">
        <v>17</v>
      </c>
      <c r="E182" s="4" t="s">
        <v>773</v>
      </c>
      <c r="F182" s="4" t="s">
        <v>47</v>
      </c>
      <c r="G182" s="4" t="s">
        <v>774</v>
      </c>
      <c r="H182" s="5" t="s">
        <v>775</v>
      </c>
      <c r="I182" s="6">
        <f>INT(VALUE(LEFT(Table2[[#This Row],[runtime_min]],FIND(" ",Table2[[#This Row],[runtime_min]])-1))/60)*100 + MOD(VALUE(LEFT(Table2[[#This Row],[runtime_min]],FIND(" ",Table2[[#This Row],[runtime_min]])-1)),60)</f>
        <v>125</v>
      </c>
      <c r="J182" s="4"/>
      <c r="K182" s="7"/>
      <c r="L182" s="11"/>
      <c r="M182" s="9" t="s">
        <v>31</v>
      </c>
      <c r="N182" s="10" t="s">
        <v>23</v>
      </c>
    </row>
    <row r="183" spans="1:14" ht="14" x14ac:dyDescent="0.15">
      <c r="A183" s="12" t="s">
        <v>776</v>
      </c>
      <c r="B183" s="4" t="s">
        <v>777</v>
      </c>
      <c r="C183" s="5" t="s">
        <v>778</v>
      </c>
      <c r="D183" s="4" t="s">
        <v>95</v>
      </c>
      <c r="E183" s="4" t="s">
        <v>779</v>
      </c>
      <c r="F183" s="4" t="s">
        <v>259</v>
      </c>
      <c r="G183" s="4" t="s">
        <v>780</v>
      </c>
      <c r="H183" s="5" t="s">
        <v>781</v>
      </c>
      <c r="I183" s="6">
        <f>INT(VALUE(LEFT(Table2[[#This Row],[runtime_min]],FIND(" ",Table2[[#This Row],[runtime_min]])-1))/60)*100 + MOD(VALUE(LEFT(Table2[[#This Row],[runtime_min]],FIND(" ",Table2[[#This Row],[runtime_min]])-1)),60)</f>
        <v>44</v>
      </c>
      <c r="J183" s="4" t="s">
        <v>99</v>
      </c>
      <c r="K183" s="7" t="s">
        <v>782</v>
      </c>
      <c r="L183" s="11"/>
      <c r="M183" s="9" t="s">
        <v>31</v>
      </c>
      <c r="N183" s="10" t="s">
        <v>23</v>
      </c>
    </row>
    <row r="184" spans="1:14" ht="14" x14ac:dyDescent="0.15">
      <c r="A184" s="12" t="s">
        <v>776</v>
      </c>
      <c r="B184" s="4" t="s">
        <v>783</v>
      </c>
      <c r="C184" s="5" t="s">
        <v>784</v>
      </c>
      <c r="D184" s="4" t="s">
        <v>95</v>
      </c>
      <c r="E184" s="4" t="s">
        <v>779</v>
      </c>
      <c r="F184" s="4" t="s">
        <v>259</v>
      </c>
      <c r="G184" s="4" t="s">
        <v>785</v>
      </c>
      <c r="H184" s="5" t="s">
        <v>476</v>
      </c>
      <c r="I184" s="6">
        <f>INT(VALUE(LEFT(Table2[[#This Row],[runtime_min]],FIND(" ",Table2[[#This Row],[runtime_min]])-1))/60)*100 + MOD(VALUE(LEFT(Table2[[#This Row],[runtime_min]],FIND(" ",Table2[[#This Row],[runtime_min]])-1)),60)</f>
        <v>49</v>
      </c>
      <c r="J184" s="4" t="s">
        <v>123</v>
      </c>
      <c r="K184" s="7" t="s">
        <v>786</v>
      </c>
      <c r="L184" s="11"/>
      <c r="M184" s="9" t="s">
        <v>31</v>
      </c>
      <c r="N184" s="10" t="s">
        <v>23</v>
      </c>
    </row>
    <row r="185" spans="1:14" ht="14" x14ac:dyDescent="0.15">
      <c r="A185" s="12" t="s">
        <v>776</v>
      </c>
      <c r="B185" s="4" t="s">
        <v>787</v>
      </c>
      <c r="C185" s="5" t="s">
        <v>788</v>
      </c>
      <c r="D185" s="4" t="s">
        <v>95</v>
      </c>
      <c r="E185" s="4" t="s">
        <v>779</v>
      </c>
      <c r="F185" s="4" t="s">
        <v>259</v>
      </c>
      <c r="G185" s="4" t="s">
        <v>780</v>
      </c>
      <c r="H185" s="5" t="s">
        <v>113</v>
      </c>
      <c r="I185" s="6">
        <f>INT(VALUE(LEFT(Table2[[#This Row],[runtime_min]],FIND(" ",Table2[[#This Row],[runtime_min]])-1))/60)*100 + MOD(VALUE(LEFT(Table2[[#This Row],[runtime_min]],FIND(" ",Table2[[#This Row],[runtime_min]])-1)),60)</f>
        <v>50</v>
      </c>
      <c r="J185" s="4" t="s">
        <v>109</v>
      </c>
      <c r="K185" s="7" t="s">
        <v>789</v>
      </c>
      <c r="L185" s="11"/>
      <c r="M185" s="9" t="s">
        <v>31</v>
      </c>
      <c r="N185" s="10" t="s">
        <v>23</v>
      </c>
    </row>
    <row r="186" spans="1:14" ht="14" x14ac:dyDescent="0.15">
      <c r="A186" s="12" t="s">
        <v>776</v>
      </c>
      <c r="B186" s="4" t="s">
        <v>790</v>
      </c>
      <c r="C186" s="5" t="s">
        <v>791</v>
      </c>
      <c r="D186" s="4" t="s">
        <v>95</v>
      </c>
      <c r="E186" s="4" t="s">
        <v>779</v>
      </c>
      <c r="F186" s="4" t="s">
        <v>259</v>
      </c>
      <c r="G186" s="4" t="s">
        <v>792</v>
      </c>
      <c r="H186" s="5" t="s">
        <v>113</v>
      </c>
      <c r="I186" s="6">
        <f>INT(VALUE(LEFT(Table2[[#This Row],[runtime_min]],FIND(" ",Table2[[#This Row],[runtime_min]])-1))/60)*100 + MOD(VALUE(LEFT(Table2[[#This Row],[runtime_min]],FIND(" ",Table2[[#This Row],[runtime_min]])-1)),60)</f>
        <v>50</v>
      </c>
      <c r="J186" s="4" t="s">
        <v>127</v>
      </c>
      <c r="K186" s="7" t="s">
        <v>793</v>
      </c>
      <c r="L186" s="11"/>
      <c r="M186" s="9" t="s">
        <v>31</v>
      </c>
      <c r="N186" s="10" t="s">
        <v>23</v>
      </c>
    </row>
    <row r="187" spans="1:14" ht="14" x14ac:dyDescent="0.15">
      <c r="A187" s="4" t="s">
        <v>776</v>
      </c>
      <c r="B187" s="4" t="s">
        <v>794</v>
      </c>
      <c r="C187" s="5" t="s">
        <v>795</v>
      </c>
      <c r="D187" s="4" t="s">
        <v>95</v>
      </c>
      <c r="E187" s="4" t="s">
        <v>779</v>
      </c>
      <c r="F187" s="4" t="s">
        <v>259</v>
      </c>
      <c r="G187" s="4" t="s">
        <v>796</v>
      </c>
      <c r="H187" s="5" t="s">
        <v>113</v>
      </c>
      <c r="I187" s="6">
        <f>INT(VALUE(LEFT(Table2[[#This Row],[runtime_min]],FIND(" ",Table2[[#This Row],[runtime_min]])-1))/60)*100 + MOD(VALUE(LEFT(Table2[[#This Row],[runtime_min]],FIND(" ",Table2[[#This Row],[runtime_min]])-1)),60)</f>
        <v>50</v>
      </c>
      <c r="J187" s="4" t="s">
        <v>104</v>
      </c>
      <c r="K187" s="7" t="s">
        <v>797</v>
      </c>
      <c r="L187" s="11"/>
      <c r="M187" s="9" t="s">
        <v>31</v>
      </c>
      <c r="N187" s="10" t="s">
        <v>23</v>
      </c>
    </row>
    <row r="188" spans="1:14" ht="14" x14ac:dyDescent="0.15">
      <c r="A188" s="4" t="s">
        <v>798</v>
      </c>
      <c r="B188" s="4" t="s">
        <v>799</v>
      </c>
      <c r="C188" s="5" t="s">
        <v>800</v>
      </c>
      <c r="D188" s="4" t="s">
        <v>27</v>
      </c>
      <c r="E188" s="4" t="s">
        <v>801</v>
      </c>
      <c r="F188" s="4" t="s">
        <v>647</v>
      </c>
      <c r="G188" s="4" t="s">
        <v>802</v>
      </c>
      <c r="H188" s="5" t="s">
        <v>803</v>
      </c>
      <c r="I188" s="6">
        <f>INT(VALUE(LEFT(Table2[[#This Row],[runtime_min]],FIND(" ",Table2[[#This Row],[runtime_min]])-1))/60)*100 + MOD(VALUE(LEFT(Table2[[#This Row],[runtime_min]],FIND(" ",Table2[[#This Row],[runtime_min]])-1)),60)</f>
        <v>131</v>
      </c>
      <c r="J188" s="4"/>
      <c r="K188" s="7"/>
      <c r="L188" s="11" t="s">
        <v>161</v>
      </c>
      <c r="M188" s="9" t="s">
        <v>23</v>
      </c>
      <c r="N188" s="10" t="s">
        <v>23</v>
      </c>
    </row>
    <row r="189" spans="1:14" x14ac:dyDescent="0.15">
      <c r="A189" s="4" t="s">
        <v>804</v>
      </c>
      <c r="B189" s="4" t="s">
        <v>805</v>
      </c>
      <c r="C189" s="5" t="s">
        <v>806</v>
      </c>
      <c r="D189" s="4" t="s">
        <v>17</v>
      </c>
      <c r="E189" s="4" t="s">
        <v>773</v>
      </c>
      <c r="F189" s="4" t="s">
        <v>463</v>
      </c>
      <c r="G189" s="4" t="s">
        <v>807</v>
      </c>
      <c r="H189" s="5" t="s">
        <v>808</v>
      </c>
      <c r="I189" s="6">
        <f>INT(VALUE(LEFT(Table2[[#This Row],[runtime_min]],FIND(" ",Table2[[#This Row],[runtime_min]])-1))/60)*100 + MOD(VALUE(LEFT(Table2[[#This Row],[runtime_min]],FIND(" ",Table2[[#This Row],[runtime_min]])-1)),60)</f>
        <v>134</v>
      </c>
      <c r="J189" s="4"/>
      <c r="K189" s="7"/>
      <c r="L189" s="11"/>
      <c r="M189" s="9" t="s">
        <v>31</v>
      </c>
      <c r="N189" s="10" t="s">
        <v>23</v>
      </c>
    </row>
    <row r="190" spans="1:14" x14ac:dyDescent="0.15">
      <c r="A190" s="4" t="s">
        <v>809</v>
      </c>
      <c r="B190" s="4" t="s">
        <v>810</v>
      </c>
      <c r="C190" s="5" t="s">
        <v>811</v>
      </c>
      <c r="D190" s="4" t="s">
        <v>17</v>
      </c>
      <c r="E190" s="4" t="s">
        <v>812</v>
      </c>
      <c r="F190" s="4" t="s">
        <v>19</v>
      </c>
      <c r="G190" s="4" t="s">
        <v>813</v>
      </c>
      <c r="H190" s="5" t="s">
        <v>814</v>
      </c>
      <c r="I190" s="6">
        <f>INT(VALUE(LEFT(Table2[[#This Row],[runtime_min]],FIND(" ",Table2[[#This Row],[runtime_min]])-1))/60)*100 + MOD(VALUE(LEFT(Table2[[#This Row],[runtime_min]],FIND(" ",Table2[[#This Row],[runtime_min]])-1)),60)</f>
        <v>116</v>
      </c>
      <c r="J190" s="4"/>
      <c r="K190" s="7"/>
      <c r="L190" s="11"/>
      <c r="M190" s="9" t="s">
        <v>31</v>
      </c>
      <c r="N190" s="10" t="s">
        <v>23</v>
      </c>
    </row>
    <row r="191" spans="1:14" x14ac:dyDescent="0.15">
      <c r="A191" s="4" t="s">
        <v>815</v>
      </c>
      <c r="B191" s="4" t="s">
        <v>816</v>
      </c>
      <c r="C191" s="5" t="s">
        <v>817</v>
      </c>
      <c r="D191" s="4" t="s">
        <v>17</v>
      </c>
      <c r="E191" s="4" t="s">
        <v>35</v>
      </c>
      <c r="F191" s="4" t="s">
        <v>59</v>
      </c>
      <c r="G191" s="4" t="s">
        <v>818</v>
      </c>
      <c r="H191" s="5" t="s">
        <v>286</v>
      </c>
      <c r="I191" s="6">
        <f>INT(VALUE(LEFT(Table2[[#This Row],[runtime_min]],FIND(" ",Table2[[#This Row],[runtime_min]])-1))/60)*100 + MOD(VALUE(LEFT(Table2[[#This Row],[runtime_min]],FIND(" ",Table2[[#This Row],[runtime_min]])-1)),60)</f>
        <v>141</v>
      </c>
      <c r="J191" s="4"/>
      <c r="K191" s="7"/>
      <c r="L191" s="11"/>
      <c r="M191" s="9" t="s">
        <v>31</v>
      </c>
      <c r="N191" s="10" t="s">
        <v>23</v>
      </c>
    </row>
    <row r="192" spans="1:14" x14ac:dyDescent="0.15">
      <c r="A192" s="4" t="s">
        <v>819</v>
      </c>
      <c r="B192" s="4" t="s">
        <v>820</v>
      </c>
      <c r="C192" s="5" t="s">
        <v>821</v>
      </c>
      <c r="D192" s="4" t="s">
        <v>27</v>
      </c>
      <c r="E192" s="4" t="s">
        <v>35</v>
      </c>
      <c r="F192" s="4" t="s">
        <v>417</v>
      </c>
      <c r="G192" s="4" t="s">
        <v>822</v>
      </c>
      <c r="H192" s="5" t="s">
        <v>733</v>
      </c>
      <c r="I192" s="6">
        <f>INT(VALUE(LEFT(Table2[[#This Row],[runtime_min]],FIND(" ",Table2[[#This Row],[runtime_min]])-1))/60)*100 + MOD(VALUE(LEFT(Table2[[#This Row],[runtime_min]],FIND(" ",Table2[[#This Row],[runtime_min]])-1)),60)</f>
        <v>135</v>
      </c>
      <c r="J192" s="4"/>
      <c r="K192" s="7"/>
      <c r="L192" s="11"/>
      <c r="M192" s="9" t="s">
        <v>31</v>
      </c>
      <c r="N192" s="10" t="s">
        <v>23</v>
      </c>
    </row>
    <row r="193" spans="1:14" ht="14" x14ac:dyDescent="0.15">
      <c r="A193" s="4" t="s">
        <v>823</v>
      </c>
      <c r="B193" s="4" t="s">
        <v>824</v>
      </c>
      <c r="C193" s="5" t="s">
        <v>825</v>
      </c>
      <c r="D193" s="4" t="s">
        <v>95</v>
      </c>
      <c r="E193" s="4" t="s">
        <v>204</v>
      </c>
      <c r="F193" s="4" t="s">
        <v>826</v>
      </c>
      <c r="G193" s="4" t="s">
        <v>827</v>
      </c>
      <c r="H193" s="5" t="s">
        <v>346</v>
      </c>
      <c r="I193" s="6">
        <f>INT(VALUE(LEFT(Table2[[#This Row],[runtime_min]],FIND(" ",Table2[[#This Row],[runtime_min]])-1))/60)*100 + MOD(VALUE(LEFT(Table2[[#This Row],[runtime_min]],FIND(" ",Table2[[#This Row],[runtime_min]])-1)),60)</f>
        <v>55</v>
      </c>
      <c r="J193" s="4" t="s">
        <v>99</v>
      </c>
      <c r="K193" s="7" t="s">
        <v>828</v>
      </c>
      <c r="L193" s="11"/>
      <c r="M193" s="9" t="s">
        <v>31</v>
      </c>
      <c r="N193" s="10" t="s">
        <v>23</v>
      </c>
    </row>
    <row r="194" spans="1:14" ht="14" x14ac:dyDescent="0.15">
      <c r="A194" s="4" t="s">
        <v>823</v>
      </c>
      <c r="B194" s="4" t="s">
        <v>829</v>
      </c>
      <c r="C194" s="5" t="s">
        <v>830</v>
      </c>
      <c r="D194" s="4" t="s">
        <v>95</v>
      </c>
      <c r="E194" s="4" t="s">
        <v>204</v>
      </c>
      <c r="F194" s="4" t="s">
        <v>826</v>
      </c>
      <c r="G194" s="4"/>
      <c r="H194" s="5" t="s">
        <v>346</v>
      </c>
      <c r="I194" s="6">
        <f>INT(VALUE(LEFT(Table2[[#This Row],[runtime_min]],FIND(" ",Table2[[#This Row],[runtime_min]])-1))/60)*100 + MOD(VALUE(LEFT(Table2[[#This Row],[runtime_min]],FIND(" ",Table2[[#This Row],[runtime_min]])-1)),60)</f>
        <v>55</v>
      </c>
      <c r="J194" s="4" t="s">
        <v>104</v>
      </c>
      <c r="K194" s="7" t="s">
        <v>831</v>
      </c>
      <c r="L194" s="11"/>
      <c r="M194" s="9" t="s">
        <v>31</v>
      </c>
      <c r="N194" s="10" t="s">
        <v>23</v>
      </c>
    </row>
    <row r="195" spans="1:14" ht="14" x14ac:dyDescent="0.15">
      <c r="A195" s="4" t="s">
        <v>823</v>
      </c>
      <c r="B195" s="4" t="s">
        <v>832</v>
      </c>
      <c r="C195" s="5" t="s">
        <v>833</v>
      </c>
      <c r="D195" s="4" t="s">
        <v>95</v>
      </c>
      <c r="E195" s="4" t="s">
        <v>204</v>
      </c>
      <c r="F195" s="4" t="s">
        <v>826</v>
      </c>
      <c r="G195" s="4" t="s">
        <v>834</v>
      </c>
      <c r="H195" s="5" t="s">
        <v>346</v>
      </c>
      <c r="I195" s="6">
        <f>INT(VALUE(LEFT(Table2[[#This Row],[runtime_min]],FIND(" ",Table2[[#This Row],[runtime_min]])-1))/60)*100 + MOD(VALUE(LEFT(Table2[[#This Row],[runtime_min]],FIND(" ",Table2[[#This Row],[runtime_min]])-1)),60)</f>
        <v>55</v>
      </c>
      <c r="J195" s="4" t="s">
        <v>123</v>
      </c>
      <c r="K195" s="7" t="s">
        <v>835</v>
      </c>
      <c r="L195" s="11"/>
      <c r="M195" s="9" t="s">
        <v>31</v>
      </c>
      <c r="N195" s="10" t="s">
        <v>23</v>
      </c>
    </row>
    <row r="196" spans="1:14" ht="14" x14ac:dyDescent="0.15">
      <c r="A196" s="4" t="s">
        <v>823</v>
      </c>
      <c r="B196" s="4" t="s">
        <v>836</v>
      </c>
      <c r="C196" s="5" t="s">
        <v>837</v>
      </c>
      <c r="D196" s="4" t="s">
        <v>95</v>
      </c>
      <c r="E196" s="4" t="s">
        <v>204</v>
      </c>
      <c r="F196" s="4" t="s">
        <v>826</v>
      </c>
      <c r="G196" s="4"/>
      <c r="H196" s="5" t="s">
        <v>346</v>
      </c>
      <c r="I196" s="6">
        <f>INT(VALUE(LEFT(Table2[[#This Row],[runtime_min]],FIND(" ",Table2[[#This Row],[runtime_min]])-1))/60)*100 + MOD(VALUE(LEFT(Table2[[#This Row],[runtime_min]],FIND(" ",Table2[[#This Row],[runtime_min]])-1)),60)</f>
        <v>55</v>
      </c>
      <c r="J196" s="4" t="s">
        <v>109</v>
      </c>
      <c r="K196" s="7" t="s">
        <v>492</v>
      </c>
      <c r="L196" s="11"/>
      <c r="M196" s="9" t="s">
        <v>31</v>
      </c>
      <c r="N196" s="10" t="s">
        <v>23</v>
      </c>
    </row>
    <row r="197" spans="1:14" ht="14" x14ac:dyDescent="0.15">
      <c r="A197" s="4" t="s">
        <v>823</v>
      </c>
      <c r="B197" s="4" t="s">
        <v>838</v>
      </c>
      <c r="C197" s="5" t="s">
        <v>839</v>
      </c>
      <c r="D197" s="4" t="s">
        <v>95</v>
      </c>
      <c r="E197" s="4" t="s">
        <v>204</v>
      </c>
      <c r="F197" s="4" t="s">
        <v>826</v>
      </c>
      <c r="G197" s="4" t="s">
        <v>840</v>
      </c>
      <c r="H197" s="5" t="s">
        <v>346</v>
      </c>
      <c r="I197" s="6">
        <f>INT(VALUE(LEFT(Table2[[#This Row],[runtime_min]],FIND(" ",Table2[[#This Row],[runtime_min]])-1))/60)*100 + MOD(VALUE(LEFT(Table2[[#This Row],[runtime_min]],FIND(" ",Table2[[#This Row],[runtime_min]])-1)),60)</f>
        <v>55</v>
      </c>
      <c r="J197" s="4" t="s">
        <v>127</v>
      </c>
      <c r="K197" s="7" t="s">
        <v>841</v>
      </c>
      <c r="L197" s="11"/>
      <c r="M197" s="9" t="s">
        <v>31</v>
      </c>
      <c r="N197" s="10" t="s">
        <v>23</v>
      </c>
    </row>
    <row r="198" spans="1:14" ht="14" x14ac:dyDescent="0.15">
      <c r="A198" s="4" t="s">
        <v>823</v>
      </c>
      <c r="B198" s="4" t="s">
        <v>842</v>
      </c>
      <c r="C198" s="5" t="s">
        <v>843</v>
      </c>
      <c r="D198" s="4" t="s">
        <v>95</v>
      </c>
      <c r="E198" s="4" t="s">
        <v>204</v>
      </c>
      <c r="F198" s="4" t="s">
        <v>826</v>
      </c>
      <c r="G198" s="4"/>
      <c r="H198" s="5" t="s">
        <v>346</v>
      </c>
      <c r="I198" s="6">
        <f>INT(VALUE(LEFT(Table2[[#This Row],[runtime_min]],FIND(" ",Table2[[#This Row],[runtime_min]])-1))/60)*100 + MOD(VALUE(LEFT(Table2[[#This Row],[runtime_min]],FIND(" ",Table2[[#This Row],[runtime_min]])-1)),60)</f>
        <v>55</v>
      </c>
      <c r="J198" s="4" t="s">
        <v>114</v>
      </c>
      <c r="K198" s="7" t="s">
        <v>844</v>
      </c>
      <c r="L198" s="11"/>
      <c r="M198" s="9" t="s">
        <v>31</v>
      </c>
      <c r="N198" s="10" t="s">
        <v>23</v>
      </c>
    </row>
    <row r="199" spans="1:14" ht="14" x14ac:dyDescent="0.15">
      <c r="A199" s="4" t="s">
        <v>823</v>
      </c>
      <c r="B199" s="4" t="s">
        <v>845</v>
      </c>
      <c r="C199" s="5" t="s">
        <v>846</v>
      </c>
      <c r="D199" s="4" t="s">
        <v>95</v>
      </c>
      <c r="E199" s="4" t="s">
        <v>204</v>
      </c>
      <c r="F199" s="4" t="s">
        <v>826</v>
      </c>
      <c r="G199" s="4"/>
      <c r="H199" s="5" t="s">
        <v>346</v>
      </c>
      <c r="I199" s="6">
        <f>INT(VALUE(LEFT(Table2[[#This Row],[runtime_min]],FIND(" ",Table2[[#This Row],[runtime_min]])-1))/60)*100 + MOD(VALUE(LEFT(Table2[[#This Row],[runtime_min]],FIND(" ",Table2[[#This Row],[runtime_min]])-1)),60)</f>
        <v>55</v>
      </c>
      <c r="J199" s="4" t="s">
        <v>119</v>
      </c>
      <c r="K199" s="7" t="s">
        <v>847</v>
      </c>
      <c r="L199" s="11"/>
      <c r="M199" s="9" t="s">
        <v>31</v>
      </c>
      <c r="N199" s="10" t="s">
        <v>23</v>
      </c>
    </row>
    <row r="200" spans="1:14" ht="14" x14ac:dyDescent="0.15">
      <c r="A200" s="4" t="s">
        <v>823</v>
      </c>
      <c r="B200" s="4" t="s">
        <v>848</v>
      </c>
      <c r="C200" s="5" t="s">
        <v>849</v>
      </c>
      <c r="D200" s="4" t="s">
        <v>95</v>
      </c>
      <c r="E200" s="4" t="s">
        <v>204</v>
      </c>
      <c r="F200" s="4" t="s">
        <v>826</v>
      </c>
      <c r="G200" s="4"/>
      <c r="H200" s="5" t="s">
        <v>346</v>
      </c>
      <c r="I200" s="6">
        <f>INT(VALUE(LEFT(Table2[[#This Row],[runtime_min]],FIND(" ",Table2[[#This Row],[runtime_min]])-1))/60)*100 + MOD(VALUE(LEFT(Table2[[#This Row],[runtime_min]],FIND(" ",Table2[[#This Row],[runtime_min]])-1)),60)</f>
        <v>55</v>
      </c>
      <c r="J200" s="4" t="s">
        <v>336</v>
      </c>
      <c r="K200" s="7" t="s">
        <v>850</v>
      </c>
      <c r="L200" s="11"/>
      <c r="M200" s="9" t="s">
        <v>31</v>
      </c>
      <c r="N200" s="10" t="s">
        <v>23</v>
      </c>
    </row>
    <row r="201" spans="1:14" ht="14" x14ac:dyDescent="0.15">
      <c r="A201" s="4" t="s">
        <v>823</v>
      </c>
      <c r="B201" s="4" t="s">
        <v>851</v>
      </c>
      <c r="C201" s="5" t="s">
        <v>852</v>
      </c>
      <c r="D201" s="4" t="s">
        <v>95</v>
      </c>
      <c r="E201" s="4" t="s">
        <v>204</v>
      </c>
      <c r="F201" s="4" t="s">
        <v>826</v>
      </c>
      <c r="G201" s="4"/>
      <c r="H201" s="5" t="s">
        <v>346</v>
      </c>
      <c r="I201" s="6">
        <f>INT(VALUE(LEFT(Table2[[#This Row],[runtime_min]],FIND(" ",Table2[[#This Row],[runtime_min]])-1))/60)*100 + MOD(VALUE(LEFT(Table2[[#This Row],[runtime_min]],FIND(" ",Table2[[#This Row],[runtime_min]])-1)),60)</f>
        <v>55</v>
      </c>
      <c r="J201" s="4" t="s">
        <v>309</v>
      </c>
      <c r="K201" s="7" t="s">
        <v>853</v>
      </c>
      <c r="L201" s="11"/>
      <c r="M201" s="9" t="s">
        <v>31</v>
      </c>
      <c r="N201" s="10" t="s">
        <v>23</v>
      </c>
    </row>
    <row r="202" spans="1:14" ht="14" x14ac:dyDescent="0.15">
      <c r="A202" s="4" t="s">
        <v>823</v>
      </c>
      <c r="B202" s="4" t="s">
        <v>854</v>
      </c>
      <c r="C202" s="5" t="s">
        <v>855</v>
      </c>
      <c r="D202" s="4" t="s">
        <v>95</v>
      </c>
      <c r="E202" s="4" t="s">
        <v>204</v>
      </c>
      <c r="F202" s="4" t="s">
        <v>826</v>
      </c>
      <c r="G202" s="4"/>
      <c r="H202" s="5" t="s">
        <v>346</v>
      </c>
      <c r="I202" s="6">
        <f>INT(VALUE(LEFT(Table2[[#This Row],[runtime_min]],FIND(" ",Table2[[#This Row],[runtime_min]])-1))/60)*100 + MOD(VALUE(LEFT(Table2[[#This Row],[runtime_min]],FIND(" ",Table2[[#This Row],[runtime_min]])-1)),60)</f>
        <v>55</v>
      </c>
      <c r="J202" s="4" t="s">
        <v>340</v>
      </c>
      <c r="K202" s="7" t="s">
        <v>856</v>
      </c>
      <c r="L202" s="11"/>
      <c r="M202" s="9" t="s">
        <v>31</v>
      </c>
      <c r="N202" s="10" t="s">
        <v>23</v>
      </c>
    </row>
    <row r="203" spans="1:14" ht="14" x14ac:dyDescent="0.15">
      <c r="A203" s="4" t="s">
        <v>823</v>
      </c>
      <c r="B203" s="4" t="s">
        <v>857</v>
      </c>
      <c r="C203" s="5" t="s">
        <v>858</v>
      </c>
      <c r="D203" s="4" t="s">
        <v>95</v>
      </c>
      <c r="E203" s="4" t="s">
        <v>204</v>
      </c>
      <c r="F203" s="4" t="s">
        <v>826</v>
      </c>
      <c r="G203" s="4"/>
      <c r="H203" s="5" t="s">
        <v>346</v>
      </c>
      <c r="I203" s="6">
        <f>INT(VALUE(LEFT(Table2[[#This Row],[runtime_min]],FIND(" ",Table2[[#This Row],[runtime_min]])-1))/60)*100 + MOD(VALUE(LEFT(Table2[[#This Row],[runtime_min]],FIND(" ",Table2[[#This Row],[runtime_min]])-1)),60)</f>
        <v>55</v>
      </c>
      <c r="J203" s="4" t="s">
        <v>381</v>
      </c>
      <c r="K203" s="7" t="s">
        <v>859</v>
      </c>
      <c r="L203" s="11"/>
      <c r="M203" s="9" t="s">
        <v>31</v>
      </c>
      <c r="N203" s="10" t="s">
        <v>23</v>
      </c>
    </row>
    <row r="204" spans="1:14" x14ac:dyDescent="0.15">
      <c r="A204" s="4" t="s">
        <v>860</v>
      </c>
      <c r="B204" s="4" t="s">
        <v>861</v>
      </c>
      <c r="C204" s="5" t="s">
        <v>862</v>
      </c>
      <c r="D204" s="4" t="s">
        <v>17</v>
      </c>
      <c r="E204" s="4" t="s">
        <v>64</v>
      </c>
      <c r="F204" s="4" t="s">
        <v>28</v>
      </c>
      <c r="G204" s="4" t="s">
        <v>863</v>
      </c>
      <c r="H204" s="5" t="s">
        <v>134</v>
      </c>
      <c r="I204" s="6">
        <f>INT(VALUE(LEFT(Table2[[#This Row],[runtime_min]],FIND(" ",Table2[[#This Row],[runtime_min]])-1))/60)*100 + MOD(VALUE(LEFT(Table2[[#This Row],[runtime_min]],FIND(" ",Table2[[#This Row],[runtime_min]])-1)),60)</f>
        <v>126</v>
      </c>
      <c r="J204" s="4"/>
      <c r="K204" s="7"/>
      <c r="L204" s="11"/>
      <c r="M204" s="9" t="s">
        <v>31</v>
      </c>
      <c r="N204" s="10" t="s">
        <v>23</v>
      </c>
    </row>
    <row r="205" spans="1:14" x14ac:dyDescent="0.15">
      <c r="A205" s="4" t="s">
        <v>864</v>
      </c>
      <c r="B205" s="4" t="s">
        <v>865</v>
      </c>
      <c r="C205" s="5" t="s">
        <v>866</v>
      </c>
      <c r="D205" s="4" t="s">
        <v>17</v>
      </c>
      <c r="E205" s="4" t="s">
        <v>866</v>
      </c>
      <c r="F205" s="4" t="s">
        <v>866</v>
      </c>
      <c r="G205" s="4" t="s">
        <v>866</v>
      </c>
      <c r="H205" s="5" t="s">
        <v>867</v>
      </c>
      <c r="I205" s="6">
        <f>INT(VALUE(LEFT(Table2[[#This Row],[runtime_min]],FIND(" ",Table2[[#This Row],[runtime_min]])-1))/60)*100 + MOD(VALUE(LEFT(Table2[[#This Row],[runtime_min]],FIND(" ",Table2[[#This Row],[runtime_min]])-1)),60)</f>
        <v>39</v>
      </c>
      <c r="J205" s="4"/>
      <c r="K205" s="7"/>
      <c r="L205" s="11"/>
      <c r="M205" s="9" t="s">
        <v>31</v>
      </c>
      <c r="N205" s="10" t="s">
        <v>23</v>
      </c>
    </row>
    <row r="206" spans="1:14" x14ac:dyDescent="0.15">
      <c r="A206" s="4" t="s">
        <v>868</v>
      </c>
      <c r="B206" s="4" t="s">
        <v>869</v>
      </c>
      <c r="C206" s="5" t="s">
        <v>870</v>
      </c>
      <c r="D206" s="4" t="s">
        <v>27</v>
      </c>
      <c r="E206" s="4" t="s">
        <v>35</v>
      </c>
      <c r="F206" s="4" t="s">
        <v>253</v>
      </c>
      <c r="G206" s="4" t="s">
        <v>871</v>
      </c>
      <c r="H206" s="5" t="s">
        <v>233</v>
      </c>
      <c r="I206" s="6">
        <f>INT(VALUE(LEFT(Table2[[#This Row],[runtime_min]],FIND(" ",Table2[[#This Row],[runtime_min]])-1))/60)*100 + MOD(VALUE(LEFT(Table2[[#This Row],[runtime_min]],FIND(" ",Table2[[#This Row],[runtime_min]])-1)),60)</f>
        <v>151</v>
      </c>
      <c r="J206" s="4"/>
      <c r="K206" s="7"/>
      <c r="L206" s="11"/>
      <c r="M206" s="9" t="s">
        <v>31</v>
      </c>
      <c r="N206" s="10" t="s">
        <v>23</v>
      </c>
    </row>
    <row r="207" spans="1:14" ht="14" x14ac:dyDescent="0.15">
      <c r="A207" s="12" t="s">
        <v>872</v>
      </c>
      <c r="B207" s="4" t="s">
        <v>873</v>
      </c>
      <c r="C207" s="5" t="s">
        <v>874</v>
      </c>
      <c r="D207" s="4" t="s">
        <v>95</v>
      </c>
      <c r="E207" s="4" t="s">
        <v>204</v>
      </c>
      <c r="F207" s="4" t="s">
        <v>875</v>
      </c>
      <c r="G207" s="4" t="s">
        <v>876</v>
      </c>
      <c r="H207" s="5" t="s">
        <v>113</v>
      </c>
      <c r="I207" s="6">
        <f>INT(VALUE(LEFT(Table2[[#This Row],[runtime_min]],FIND(" ",Table2[[#This Row],[runtime_min]])-1))/60)*100 + MOD(VALUE(LEFT(Table2[[#This Row],[runtime_min]],FIND(" ",Table2[[#This Row],[runtime_min]])-1)),60)</f>
        <v>50</v>
      </c>
      <c r="J207" s="4" t="s">
        <v>99</v>
      </c>
      <c r="K207" s="7" t="s">
        <v>877</v>
      </c>
      <c r="L207" s="11"/>
      <c r="M207" s="9" t="s">
        <v>31</v>
      </c>
      <c r="N207" s="10" t="s">
        <v>23</v>
      </c>
    </row>
    <row r="208" spans="1:14" ht="14" x14ac:dyDescent="0.15">
      <c r="A208" s="12" t="s">
        <v>872</v>
      </c>
      <c r="B208" s="4" t="s">
        <v>878</v>
      </c>
      <c r="C208" s="5" t="s">
        <v>879</v>
      </c>
      <c r="D208" s="4" t="s">
        <v>95</v>
      </c>
      <c r="E208" s="4" t="s">
        <v>204</v>
      </c>
      <c r="F208" s="4" t="s">
        <v>875</v>
      </c>
      <c r="G208" s="4" t="s">
        <v>876</v>
      </c>
      <c r="H208" s="5" t="s">
        <v>476</v>
      </c>
      <c r="I208" s="6">
        <f>INT(VALUE(LEFT(Table2[[#This Row],[runtime_min]],FIND(" ",Table2[[#This Row],[runtime_min]])-1))/60)*100 + MOD(VALUE(LEFT(Table2[[#This Row],[runtime_min]],FIND(" ",Table2[[#This Row],[runtime_min]])-1)),60)</f>
        <v>49</v>
      </c>
      <c r="J208" s="4" t="s">
        <v>104</v>
      </c>
      <c r="K208" s="7" t="s">
        <v>880</v>
      </c>
      <c r="L208" s="11"/>
      <c r="M208" s="9" t="s">
        <v>31</v>
      </c>
      <c r="N208" s="10" t="s">
        <v>23</v>
      </c>
    </row>
    <row r="209" spans="1:14" ht="14" x14ac:dyDescent="0.15">
      <c r="A209" s="12" t="s">
        <v>872</v>
      </c>
      <c r="B209" s="4" t="s">
        <v>881</v>
      </c>
      <c r="C209" s="5" t="s">
        <v>882</v>
      </c>
      <c r="D209" s="4" t="s">
        <v>95</v>
      </c>
      <c r="E209" s="4" t="s">
        <v>204</v>
      </c>
      <c r="F209" s="4" t="s">
        <v>875</v>
      </c>
      <c r="G209" s="4" t="s">
        <v>876</v>
      </c>
      <c r="H209" s="5" t="s">
        <v>476</v>
      </c>
      <c r="I209" s="6">
        <f>INT(VALUE(LEFT(Table2[[#This Row],[runtime_min]],FIND(" ",Table2[[#This Row],[runtime_min]])-1))/60)*100 + MOD(VALUE(LEFT(Table2[[#This Row],[runtime_min]],FIND(" ",Table2[[#This Row],[runtime_min]])-1)),60)</f>
        <v>49</v>
      </c>
      <c r="J209" s="4" t="s">
        <v>123</v>
      </c>
      <c r="K209" s="7" t="s">
        <v>883</v>
      </c>
      <c r="L209" s="11"/>
      <c r="M209" s="9" t="s">
        <v>31</v>
      </c>
      <c r="N209" s="10" t="s">
        <v>23</v>
      </c>
    </row>
    <row r="210" spans="1:14" ht="14" x14ac:dyDescent="0.15">
      <c r="A210" s="12" t="s">
        <v>872</v>
      </c>
      <c r="B210" s="4" t="s">
        <v>884</v>
      </c>
      <c r="C210" s="5" t="s">
        <v>885</v>
      </c>
      <c r="D210" s="4" t="s">
        <v>95</v>
      </c>
      <c r="E210" s="4" t="s">
        <v>204</v>
      </c>
      <c r="F210" s="4" t="s">
        <v>875</v>
      </c>
      <c r="G210" s="4" t="s">
        <v>876</v>
      </c>
      <c r="H210" s="5" t="s">
        <v>476</v>
      </c>
      <c r="I210" s="6">
        <f>INT(VALUE(LEFT(Table2[[#This Row],[runtime_min]],FIND(" ",Table2[[#This Row],[runtime_min]])-1))/60)*100 + MOD(VALUE(LEFT(Table2[[#This Row],[runtime_min]],FIND(" ",Table2[[#This Row],[runtime_min]])-1)),60)</f>
        <v>49</v>
      </c>
      <c r="J210" s="4" t="s">
        <v>109</v>
      </c>
      <c r="K210" s="7" t="s">
        <v>886</v>
      </c>
      <c r="L210" s="11"/>
      <c r="M210" s="9" t="s">
        <v>31</v>
      </c>
      <c r="N210" s="10" t="s">
        <v>23</v>
      </c>
    </row>
    <row r="211" spans="1:14" ht="14" x14ac:dyDescent="0.15">
      <c r="A211" s="12" t="s">
        <v>872</v>
      </c>
      <c r="B211" s="4" t="s">
        <v>887</v>
      </c>
      <c r="C211" s="5" t="s">
        <v>888</v>
      </c>
      <c r="D211" s="4" t="s">
        <v>95</v>
      </c>
      <c r="E211" s="4" t="s">
        <v>204</v>
      </c>
      <c r="F211" s="4" t="s">
        <v>875</v>
      </c>
      <c r="G211" s="4" t="s">
        <v>876</v>
      </c>
      <c r="H211" s="5" t="s">
        <v>521</v>
      </c>
      <c r="I211" s="6">
        <f>INT(VALUE(LEFT(Table2[[#This Row],[runtime_min]],FIND(" ",Table2[[#This Row],[runtime_min]])-1))/60)*100 + MOD(VALUE(LEFT(Table2[[#This Row],[runtime_min]],FIND(" ",Table2[[#This Row],[runtime_min]])-1)),60)</f>
        <v>48</v>
      </c>
      <c r="J211" s="4" t="s">
        <v>127</v>
      </c>
      <c r="K211" s="7" t="s">
        <v>889</v>
      </c>
      <c r="L211" s="11"/>
      <c r="M211" s="9" t="s">
        <v>31</v>
      </c>
      <c r="N211" s="10" t="s">
        <v>23</v>
      </c>
    </row>
    <row r="212" spans="1:14" ht="14" x14ac:dyDescent="0.15">
      <c r="A212" s="12" t="s">
        <v>872</v>
      </c>
      <c r="B212" s="4" t="s">
        <v>890</v>
      </c>
      <c r="C212" s="5" t="s">
        <v>891</v>
      </c>
      <c r="D212" s="4" t="s">
        <v>95</v>
      </c>
      <c r="E212" s="4" t="s">
        <v>204</v>
      </c>
      <c r="F212" s="4" t="s">
        <v>875</v>
      </c>
      <c r="G212" s="4" t="s">
        <v>876</v>
      </c>
      <c r="H212" s="5" t="s">
        <v>476</v>
      </c>
      <c r="I212" s="6">
        <f>INT(VALUE(LEFT(Table2[[#This Row],[runtime_min]],FIND(" ",Table2[[#This Row],[runtime_min]])-1))/60)*100 + MOD(VALUE(LEFT(Table2[[#This Row],[runtime_min]],FIND(" ",Table2[[#This Row],[runtime_min]])-1)),60)</f>
        <v>49</v>
      </c>
      <c r="J212" s="4" t="s">
        <v>114</v>
      </c>
      <c r="K212" s="7" t="s">
        <v>892</v>
      </c>
      <c r="L212" s="11"/>
      <c r="M212" s="9" t="s">
        <v>31</v>
      </c>
      <c r="N212" s="10" t="s">
        <v>23</v>
      </c>
    </row>
    <row r="213" spans="1:14" ht="14" x14ac:dyDescent="0.15">
      <c r="A213" s="12" t="s">
        <v>872</v>
      </c>
      <c r="B213" s="4" t="s">
        <v>893</v>
      </c>
      <c r="C213" s="5" t="s">
        <v>894</v>
      </c>
      <c r="D213" s="4" t="s">
        <v>95</v>
      </c>
      <c r="E213" s="4" t="s">
        <v>204</v>
      </c>
      <c r="F213" s="4" t="s">
        <v>875</v>
      </c>
      <c r="G213" s="4" t="s">
        <v>876</v>
      </c>
      <c r="H213" s="5" t="s">
        <v>476</v>
      </c>
      <c r="I213" s="6">
        <f>INT(VALUE(LEFT(Table2[[#This Row],[runtime_min]],FIND(" ",Table2[[#This Row],[runtime_min]])-1))/60)*100 + MOD(VALUE(LEFT(Table2[[#This Row],[runtime_min]],FIND(" ",Table2[[#This Row],[runtime_min]])-1)),60)</f>
        <v>49</v>
      </c>
      <c r="J213" s="4" t="s">
        <v>119</v>
      </c>
      <c r="K213" s="7" t="s">
        <v>607</v>
      </c>
      <c r="L213" s="11"/>
      <c r="M213" s="9" t="s">
        <v>31</v>
      </c>
      <c r="N213" s="10" t="s">
        <v>23</v>
      </c>
    </row>
    <row r="214" spans="1:14" ht="14" x14ac:dyDescent="0.15">
      <c r="A214" s="12" t="s">
        <v>872</v>
      </c>
      <c r="B214" s="4" t="s">
        <v>895</v>
      </c>
      <c r="C214" s="5" t="s">
        <v>896</v>
      </c>
      <c r="D214" s="4" t="s">
        <v>95</v>
      </c>
      <c r="E214" s="4" t="s">
        <v>204</v>
      </c>
      <c r="F214" s="4" t="s">
        <v>875</v>
      </c>
      <c r="G214" s="4" t="s">
        <v>876</v>
      </c>
      <c r="H214" s="5" t="s">
        <v>476</v>
      </c>
      <c r="I214" s="6">
        <f>INT(VALUE(LEFT(Table2[[#This Row],[runtime_min]],FIND(" ",Table2[[#This Row],[runtime_min]])-1))/60)*100 + MOD(VALUE(LEFT(Table2[[#This Row],[runtime_min]],FIND(" ",Table2[[#This Row],[runtime_min]])-1)),60)</f>
        <v>49</v>
      </c>
      <c r="J214" s="4" t="s">
        <v>336</v>
      </c>
      <c r="K214" s="7" t="s">
        <v>897</v>
      </c>
      <c r="L214" s="11"/>
      <c r="M214" s="9" t="s">
        <v>31</v>
      </c>
      <c r="N214" s="10" t="s">
        <v>23</v>
      </c>
    </row>
    <row r="215" spans="1:14" ht="14" x14ac:dyDescent="0.15">
      <c r="A215" s="12" t="s">
        <v>872</v>
      </c>
      <c r="B215" s="4" t="s">
        <v>898</v>
      </c>
      <c r="C215" s="5" t="s">
        <v>899</v>
      </c>
      <c r="D215" s="4" t="s">
        <v>95</v>
      </c>
      <c r="E215" s="4" t="s">
        <v>204</v>
      </c>
      <c r="F215" s="4" t="s">
        <v>875</v>
      </c>
      <c r="G215" s="4" t="s">
        <v>876</v>
      </c>
      <c r="H215" s="5" t="s">
        <v>900</v>
      </c>
      <c r="I215" s="6">
        <f>INT(VALUE(LEFT(Table2[[#This Row],[runtime_min]],FIND(" ",Table2[[#This Row],[runtime_min]])-1))/60)*100 + MOD(VALUE(LEFT(Table2[[#This Row],[runtime_min]],FIND(" ",Table2[[#This Row],[runtime_min]])-1)),60)</f>
        <v>47</v>
      </c>
      <c r="J215" s="4" t="s">
        <v>309</v>
      </c>
      <c r="K215" s="7" t="s">
        <v>901</v>
      </c>
      <c r="L215" s="11"/>
      <c r="M215" s="9" t="s">
        <v>31</v>
      </c>
      <c r="N215" s="10" t="s">
        <v>23</v>
      </c>
    </row>
    <row r="216" spans="1:14" ht="14" x14ac:dyDescent="0.15">
      <c r="A216" s="12" t="s">
        <v>872</v>
      </c>
      <c r="B216" s="4" t="s">
        <v>902</v>
      </c>
      <c r="C216" s="5" t="s">
        <v>903</v>
      </c>
      <c r="D216" s="4" t="s">
        <v>95</v>
      </c>
      <c r="E216" s="4" t="s">
        <v>204</v>
      </c>
      <c r="F216" s="4" t="s">
        <v>875</v>
      </c>
      <c r="G216" s="4" t="s">
        <v>876</v>
      </c>
      <c r="H216" s="5" t="s">
        <v>476</v>
      </c>
      <c r="I216" s="6">
        <f>INT(VALUE(LEFT(Table2[[#This Row],[runtime_min]],FIND(" ",Table2[[#This Row],[runtime_min]])-1))/60)*100 + MOD(VALUE(LEFT(Table2[[#This Row],[runtime_min]],FIND(" ",Table2[[#This Row],[runtime_min]])-1)),60)</f>
        <v>49</v>
      </c>
      <c r="J216" s="4" t="s">
        <v>340</v>
      </c>
      <c r="K216" s="7" t="s">
        <v>904</v>
      </c>
      <c r="L216" s="11"/>
      <c r="M216" s="9" t="s">
        <v>31</v>
      </c>
      <c r="N216" s="10" t="s">
        <v>23</v>
      </c>
    </row>
    <row r="217" spans="1:14" ht="14" x14ac:dyDescent="0.15">
      <c r="A217" s="12" t="s">
        <v>872</v>
      </c>
      <c r="B217" s="4" t="s">
        <v>905</v>
      </c>
      <c r="C217" s="5" t="s">
        <v>906</v>
      </c>
      <c r="D217" s="4" t="s">
        <v>95</v>
      </c>
      <c r="E217" s="4" t="s">
        <v>204</v>
      </c>
      <c r="F217" s="4" t="s">
        <v>875</v>
      </c>
      <c r="G217" s="4" t="s">
        <v>876</v>
      </c>
      <c r="H217" s="5" t="s">
        <v>476</v>
      </c>
      <c r="I217" s="6">
        <f>INT(VALUE(LEFT(Table2[[#This Row],[runtime_min]],FIND(" ",Table2[[#This Row],[runtime_min]])-1))/60)*100 + MOD(VALUE(LEFT(Table2[[#This Row],[runtime_min]],FIND(" ",Table2[[#This Row],[runtime_min]])-1)),60)</f>
        <v>49</v>
      </c>
      <c r="J217" s="4" t="s">
        <v>381</v>
      </c>
      <c r="K217" s="7" t="s">
        <v>907</v>
      </c>
      <c r="L217" s="11"/>
      <c r="M217" s="9" t="s">
        <v>31</v>
      </c>
      <c r="N217" s="10" t="s">
        <v>23</v>
      </c>
    </row>
    <row r="218" spans="1:14" ht="14" x14ac:dyDescent="0.15">
      <c r="A218" s="12" t="s">
        <v>872</v>
      </c>
      <c r="B218" s="4" t="s">
        <v>908</v>
      </c>
      <c r="C218" s="5" t="s">
        <v>909</v>
      </c>
      <c r="D218" s="4" t="s">
        <v>95</v>
      </c>
      <c r="E218" s="4" t="s">
        <v>204</v>
      </c>
      <c r="F218" s="4" t="s">
        <v>875</v>
      </c>
      <c r="G218" s="4" t="s">
        <v>876</v>
      </c>
      <c r="H218" s="5" t="s">
        <v>476</v>
      </c>
      <c r="I218" s="6">
        <f>INT(VALUE(LEFT(Table2[[#This Row],[runtime_min]],FIND(" ",Table2[[#This Row],[runtime_min]])-1))/60)*100 + MOD(VALUE(LEFT(Table2[[#This Row],[runtime_min]],FIND(" ",Table2[[#This Row],[runtime_min]])-1)),60)</f>
        <v>49</v>
      </c>
      <c r="J218" s="4" t="s">
        <v>385</v>
      </c>
      <c r="K218" s="7" t="s">
        <v>910</v>
      </c>
      <c r="L218" s="11"/>
      <c r="M218" s="9" t="s">
        <v>31</v>
      </c>
      <c r="N218" s="10" t="s">
        <v>23</v>
      </c>
    </row>
    <row r="219" spans="1:14" x14ac:dyDescent="0.15">
      <c r="A219" s="4" t="s">
        <v>911</v>
      </c>
      <c r="B219" s="4" t="s">
        <v>912</v>
      </c>
      <c r="C219" s="5" t="s">
        <v>913</v>
      </c>
      <c r="D219" s="4" t="s">
        <v>17</v>
      </c>
      <c r="E219" s="4" t="s">
        <v>773</v>
      </c>
      <c r="F219" s="4" t="s">
        <v>295</v>
      </c>
      <c r="G219" s="4" t="s">
        <v>914</v>
      </c>
      <c r="H219" s="5" t="s">
        <v>72</v>
      </c>
      <c r="I219" s="6">
        <f>INT(VALUE(LEFT(Table2[[#This Row],[runtime_min]],FIND(" ",Table2[[#This Row],[runtime_min]])-1))/60)*100 + MOD(VALUE(LEFT(Table2[[#This Row],[runtime_min]],FIND(" ",Table2[[#This Row],[runtime_min]])-1)),60)</f>
        <v>129</v>
      </c>
      <c r="J219" s="4"/>
      <c r="K219" s="7"/>
      <c r="L219" s="11"/>
      <c r="M219" s="9" t="s">
        <v>31</v>
      </c>
      <c r="N219" s="10" t="s">
        <v>23</v>
      </c>
    </row>
    <row r="220" spans="1:14" ht="14" x14ac:dyDescent="0.15">
      <c r="A220" s="4" t="s">
        <v>915</v>
      </c>
      <c r="B220" s="4" t="s">
        <v>916</v>
      </c>
      <c r="C220" s="5" t="s">
        <v>917</v>
      </c>
      <c r="D220" s="4" t="s">
        <v>17</v>
      </c>
      <c r="E220" s="4" t="s">
        <v>918</v>
      </c>
      <c r="F220" s="4" t="s">
        <v>417</v>
      </c>
      <c r="G220" s="4" t="s">
        <v>919</v>
      </c>
      <c r="H220" s="5" t="s">
        <v>49</v>
      </c>
      <c r="I220" s="6">
        <f>INT(VALUE(LEFT(Table2[[#This Row],[runtime_min]],FIND(" ",Table2[[#This Row],[runtime_min]])-1))/60)*100 + MOD(VALUE(LEFT(Table2[[#This Row],[runtime_min]],FIND(" ",Table2[[#This Row],[runtime_min]])-1)),60)</f>
        <v>136</v>
      </c>
      <c r="J220" s="4"/>
      <c r="K220" s="7"/>
      <c r="L220" s="11" t="s">
        <v>80</v>
      </c>
      <c r="M220" s="9" t="s">
        <v>23</v>
      </c>
      <c r="N220" s="10" t="s">
        <v>23</v>
      </c>
    </row>
    <row r="221" spans="1:14" x14ac:dyDescent="0.15">
      <c r="A221" s="4" t="s">
        <v>920</v>
      </c>
      <c r="B221" s="4" t="s">
        <v>921</v>
      </c>
      <c r="C221" s="5" t="s">
        <v>922</v>
      </c>
      <c r="D221" s="4" t="s">
        <v>27</v>
      </c>
      <c r="E221" s="4" t="s">
        <v>923</v>
      </c>
      <c r="F221" s="4" t="s">
        <v>154</v>
      </c>
      <c r="G221" s="4" t="s">
        <v>248</v>
      </c>
      <c r="H221" s="5" t="s">
        <v>261</v>
      </c>
      <c r="I221" s="6">
        <f>INT(VALUE(LEFT(Table2[[#This Row],[runtime_min]],FIND(" ",Table2[[#This Row],[runtime_min]])-1))/60)*100 + MOD(VALUE(LEFT(Table2[[#This Row],[runtime_min]],FIND(" ",Table2[[#This Row],[runtime_min]])-1)),60)</f>
        <v>144</v>
      </c>
      <c r="J221" s="4"/>
      <c r="K221" s="7"/>
      <c r="L221" s="11"/>
      <c r="M221" s="9" t="s">
        <v>31</v>
      </c>
      <c r="N221" s="10" t="s">
        <v>23</v>
      </c>
    </row>
    <row r="222" spans="1:14" ht="28" x14ac:dyDescent="0.15">
      <c r="A222" s="4" t="s">
        <v>924</v>
      </c>
      <c r="B222" s="4" t="s">
        <v>925</v>
      </c>
      <c r="C222" s="5" t="s">
        <v>926</v>
      </c>
      <c r="D222" s="4" t="s">
        <v>17</v>
      </c>
      <c r="E222" s="4" t="s">
        <v>252</v>
      </c>
      <c r="F222" s="4" t="s">
        <v>28</v>
      </c>
      <c r="G222" s="4" t="s">
        <v>927</v>
      </c>
      <c r="H222" s="5" t="s">
        <v>261</v>
      </c>
      <c r="I222" s="6">
        <f>INT(VALUE(LEFT(Table2[[#This Row],[runtime_min]],FIND(" ",Table2[[#This Row],[runtime_min]])-1))/60)*100 + MOD(VALUE(LEFT(Table2[[#This Row],[runtime_min]],FIND(" ",Table2[[#This Row],[runtime_min]])-1)),60)</f>
        <v>144</v>
      </c>
      <c r="J222" s="4"/>
      <c r="K222" s="7"/>
      <c r="L222" s="11" t="s">
        <v>928</v>
      </c>
      <c r="M222" s="9" t="s">
        <v>23</v>
      </c>
      <c r="N222" s="10" t="s">
        <v>23</v>
      </c>
    </row>
    <row r="223" spans="1:14" ht="14" x14ac:dyDescent="0.15">
      <c r="A223" s="4" t="s">
        <v>929</v>
      </c>
      <c r="B223" s="4" t="s">
        <v>930</v>
      </c>
      <c r="C223" s="5" t="s">
        <v>931</v>
      </c>
      <c r="D223" s="4" t="s">
        <v>27</v>
      </c>
      <c r="E223" s="4" t="s">
        <v>932</v>
      </c>
      <c r="F223" s="4" t="s">
        <v>259</v>
      </c>
      <c r="G223" s="4" t="s">
        <v>933</v>
      </c>
      <c r="H223" s="5" t="s">
        <v>30</v>
      </c>
      <c r="I223" s="6">
        <f>INT(VALUE(LEFT(Table2[[#This Row],[runtime_min]],FIND(" ",Table2[[#This Row],[runtime_min]])-1))/60)*100 + MOD(VALUE(LEFT(Table2[[#This Row],[runtime_min]],FIND(" ",Table2[[#This Row],[runtime_min]])-1)),60)</f>
        <v>154</v>
      </c>
      <c r="J223" s="4"/>
      <c r="K223" s="7"/>
      <c r="L223" s="11" t="s">
        <v>22</v>
      </c>
      <c r="M223" s="9" t="s">
        <v>23</v>
      </c>
      <c r="N223" s="10" t="s">
        <v>23</v>
      </c>
    </row>
    <row r="224" spans="1:14" ht="42" x14ac:dyDescent="0.15">
      <c r="A224" s="5" t="s">
        <v>934</v>
      </c>
      <c r="B224" s="4" t="s">
        <v>935</v>
      </c>
      <c r="C224" s="5" t="s">
        <v>936</v>
      </c>
      <c r="D224" s="4" t="s">
        <v>27</v>
      </c>
      <c r="E224" s="4" t="s">
        <v>457</v>
      </c>
      <c r="F224" s="4" t="s">
        <v>463</v>
      </c>
      <c r="G224" s="4" t="s">
        <v>937</v>
      </c>
      <c r="H224" s="5" t="s">
        <v>938</v>
      </c>
      <c r="I224" s="6">
        <f>INT(VALUE(LEFT(Table2[[#This Row],[runtime_min]],FIND(" ",Table2[[#This Row],[runtime_min]])-1))/60)*100 + MOD(VALUE(LEFT(Table2[[#This Row],[runtime_min]],FIND(" ",Table2[[#This Row],[runtime_min]])-1)),60)</f>
        <v>120</v>
      </c>
      <c r="J224" s="4"/>
      <c r="K224" s="7"/>
      <c r="L224" s="11" t="s">
        <v>939</v>
      </c>
      <c r="M224" s="9" t="s">
        <v>23</v>
      </c>
      <c r="N224" s="10" t="s">
        <v>23</v>
      </c>
    </row>
    <row r="225" spans="1:14" x14ac:dyDescent="0.15">
      <c r="A225" s="4" t="s">
        <v>940</v>
      </c>
      <c r="B225" s="4" t="s">
        <v>941</v>
      </c>
      <c r="C225" s="5" t="s">
        <v>942</v>
      </c>
      <c r="D225" s="4" t="s">
        <v>17</v>
      </c>
      <c r="E225" s="4" t="s">
        <v>457</v>
      </c>
      <c r="F225" s="4" t="s">
        <v>154</v>
      </c>
      <c r="G225" s="4" t="s">
        <v>943</v>
      </c>
      <c r="H225" s="5" t="s">
        <v>55</v>
      </c>
      <c r="I225" s="6">
        <f>INT(VALUE(LEFT(Table2[[#This Row],[runtime_min]],FIND(" ",Table2[[#This Row],[runtime_min]])-1))/60)*100 + MOD(VALUE(LEFT(Table2[[#This Row],[runtime_min]],FIND(" ",Table2[[#This Row],[runtime_min]])-1)),60)</f>
        <v>155</v>
      </c>
      <c r="J225" s="4"/>
      <c r="K225" s="7"/>
      <c r="L225" s="11"/>
      <c r="M225" s="9" t="s">
        <v>31</v>
      </c>
      <c r="N225" s="10" t="s">
        <v>23</v>
      </c>
    </row>
    <row r="226" spans="1:14" x14ac:dyDescent="0.15">
      <c r="A226" s="4" t="s">
        <v>944</v>
      </c>
      <c r="B226" s="4" t="s">
        <v>945</v>
      </c>
      <c r="C226" s="5" t="s">
        <v>946</v>
      </c>
      <c r="D226" s="4" t="s">
        <v>27</v>
      </c>
      <c r="E226" s="4" t="s">
        <v>947</v>
      </c>
      <c r="F226" s="4" t="s">
        <v>417</v>
      </c>
      <c r="G226" s="4" t="s">
        <v>948</v>
      </c>
      <c r="H226" s="5" t="s">
        <v>949</v>
      </c>
      <c r="I226" s="6">
        <f>INT(VALUE(LEFT(Table2[[#This Row],[runtime_min]],FIND(" ",Table2[[#This Row],[runtime_min]])-1))/60)*100 + MOD(VALUE(LEFT(Table2[[#This Row],[runtime_min]],FIND(" ",Table2[[#This Row],[runtime_min]])-1)),60)</f>
        <v>140</v>
      </c>
      <c r="J226" s="4"/>
      <c r="K226" s="7"/>
      <c r="L226" s="11"/>
      <c r="M226" s="9" t="s">
        <v>31</v>
      </c>
      <c r="N226" s="10" t="s">
        <v>23</v>
      </c>
    </row>
  </sheetData>
  <conditionalFormatting sqref="I2:I226">
    <cfRule type="cellIs" dxfId="0" priority="2" operator="lessThan">
      <formula>60</formula>
    </cfRule>
  </conditionalFormatting>
  <dataValidations count="3">
    <dataValidation type="list" allowBlank="1" showInputMessage="1" showErrorMessage="1" sqref="M2:N226" xr:uid="{00000000-0002-0000-0000-000000000000}">
      <formula1>"TRUE,FALSE"</formula1>
      <formula2>0</formula2>
    </dataValidation>
    <dataValidation type="list" allowBlank="1" showInputMessage="1" showErrorMessage="1" sqref="L2:L226" xr:uid="{00000000-0002-0000-0000-000001000000}">
      <formula1>"Destabilization / Restabilization,Escalation / de-escalation,Disruptive scaling,Non-linear temporalities,Post-anthropocentric reperspectivations,Unintended Consequences,Collision,N/A,"</formula1>
      <formula2>0</formula2>
    </dataValidation>
    <dataValidation type="list" allowBlank="1" showInputMessage="1" showErrorMessage="1" sqref="D2:D226" xr:uid="{00000000-0002-0000-0000-000002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corpus 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Demir, Derya</cp:lastModifiedBy>
  <cp:revision>7</cp:revision>
  <dcterms:created xsi:type="dcterms:W3CDTF">2025-09-15T09:22:19Z</dcterms:created>
  <dcterms:modified xsi:type="dcterms:W3CDTF">2026-05-06T09:06:52Z</dcterms:modified>
  <dc:language>de-DE</dc:language>
</cp:coreProperties>
</file>